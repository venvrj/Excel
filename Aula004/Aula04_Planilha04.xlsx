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bd01ea0391fb25/Senac/Aula Excel/Material Excel 2024/EB_Aula04/"/>
    </mc:Choice>
  </mc:AlternateContent>
  <xr:revisionPtr revIDLastSave="41" documentId="8_{0F7EA505-DD13-409E-8233-1971BFA0A324}" xr6:coauthVersionLast="47" xr6:coauthVersionMax="47" xr10:uidLastSave="{6F145555-2590-432F-A4B9-A8EC8404E5F2}"/>
  <bookViews>
    <workbookView xWindow="-120" yWindow="-120" windowWidth="29040" windowHeight="15720" tabRatio="725" activeTab="1" xr2:uid="{9BFE1809-D912-4FE0-8DF5-61439DB938E4}"/>
  </bookViews>
  <sheets>
    <sheet name="Competências" sheetId="9" r:id="rId1"/>
    <sheet name="Roteiros da Atv IMC" sheetId="18" r:id="rId2"/>
    <sheet name="Categoria Data e Hora" sheetId="10" r:id="rId3"/>
    <sheet name="Categoria Estatística" sheetId="11" r:id="rId4"/>
    <sheet name="Atividade01" sheetId="6" r:id="rId5"/>
    <sheet name="Ativiade02" sheetId="15" r:id="rId6"/>
    <sheet name="Atividade03" sheetId="13" r:id="rId7"/>
    <sheet name="Atividade04  Tabela" sheetId="17" r:id="rId8"/>
  </sheets>
  <externalReferences>
    <externalReference r:id="rId9"/>
    <externalReference r:id="rId10"/>
  </externalReferences>
  <definedNames>
    <definedName name="_xlnm._FilterDatabase" localSheetId="5" hidden="1">Ativiade02!$A$1:$C$80</definedName>
    <definedName name="_xlnm._FilterDatabase" localSheetId="4" hidden="1">Atividade01!$A$1:$F$51</definedName>
    <definedName name="_xlnm._FilterDatabase" localSheetId="6" hidden="1">Atividade03!$A$1:$O$154</definedName>
    <definedName name="Categoria_Comida">[1]Relatório!$B$9:$B$16</definedName>
    <definedName name="debcred">[2]Configuração!$A$2:$A$3</definedName>
    <definedName name="sljose">#REF!</definedName>
    <definedName name="tipo">[2]Configuração!$B$2:$B$6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7" l="1"/>
  <c r="G17" i="17"/>
  <c r="G16" i="17"/>
  <c r="G15" i="17"/>
  <c r="G13" i="17"/>
  <c r="G11" i="17"/>
  <c r="G10" i="17"/>
  <c r="G9" i="17"/>
  <c r="G8" i="17"/>
  <c r="G7" i="17"/>
  <c r="G6" i="17"/>
  <c r="G5" i="17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H94" i="11"/>
  <c r="H93" i="11"/>
  <c r="H92" i="11"/>
  <c r="H91" i="11"/>
  <c r="H89" i="11"/>
  <c r="H87" i="11"/>
  <c r="H86" i="11"/>
  <c r="H85" i="11"/>
  <c r="H84" i="11"/>
  <c r="H83" i="11"/>
  <c r="H82" i="11"/>
  <c r="H81" i="11"/>
  <c r="K72" i="11"/>
  <c r="K71" i="11"/>
  <c r="K70" i="11"/>
  <c r="K69" i="11"/>
  <c r="K67" i="11"/>
  <c r="K65" i="11"/>
  <c r="K64" i="11"/>
  <c r="K63" i="11"/>
  <c r="K62" i="11"/>
  <c r="K61" i="11"/>
  <c r="K60" i="11"/>
  <c r="K59" i="11"/>
  <c r="K20" i="11"/>
  <c r="K19" i="11"/>
  <c r="K18" i="11"/>
  <c r="K17" i="11"/>
  <c r="K16" i="11"/>
  <c r="K15" i="11"/>
  <c r="K14" i="11"/>
  <c r="K13" i="11"/>
  <c r="K12" i="11"/>
</calcChain>
</file>

<file path=xl/sharedStrings.xml><?xml version="1.0" encoding="utf-8"?>
<sst xmlns="http://schemas.openxmlformats.org/spreadsheetml/2006/main" count="1284" uniqueCount="407">
  <si>
    <t>Regiao</t>
  </si>
  <si>
    <t>Cidade</t>
  </si>
  <si>
    <t>Loja</t>
  </si>
  <si>
    <t>Sul</t>
  </si>
  <si>
    <t>Florianópolis</t>
  </si>
  <si>
    <t>FL0417</t>
  </si>
  <si>
    <t>CABO LEADERSHIP A / B 1,8 mts</t>
  </si>
  <si>
    <t>Norte</t>
  </si>
  <si>
    <t>Manaus</t>
  </si>
  <si>
    <t>MA7896</t>
  </si>
  <si>
    <t>Sudeste</t>
  </si>
  <si>
    <t>São Paulo</t>
  </si>
  <si>
    <t>SP0635</t>
  </si>
  <si>
    <t>FOGÃO BRASTEMP DE VILLE BFW76H</t>
  </si>
  <si>
    <t>Nordeste</t>
  </si>
  <si>
    <t>Fortaleza</t>
  </si>
  <si>
    <t>FT0965</t>
  </si>
  <si>
    <t>FOGÃO CONSUL BOSSA NOVA CFJ50F</t>
  </si>
  <si>
    <t>Belém</t>
  </si>
  <si>
    <t>BL8910</t>
  </si>
  <si>
    <t>FREEZER VERTICAL CONSUL CVT10B</t>
  </si>
  <si>
    <t>FREEZER VERTICAL ELECTROLUX FE 18</t>
  </si>
  <si>
    <t>Centro-Oeste</t>
  </si>
  <si>
    <t>Cuiabá</t>
  </si>
  <si>
    <t>CB0546</t>
  </si>
  <si>
    <t>Curitiba</t>
  </si>
  <si>
    <t>CT3974</t>
  </si>
  <si>
    <t>TV LCD SAMSUNG 40" LN40R51B</t>
  </si>
  <si>
    <t>Belo Horizonte</t>
  </si>
  <si>
    <t>BH7410</t>
  </si>
  <si>
    <t>TV LCD SONY BRAVIA 32" KLV-S32A10T</t>
  </si>
  <si>
    <t>TV PLASMA LG 42" 42PX4RV-MC</t>
  </si>
  <si>
    <t>CÂMERA DE VÍDEO SONY DCR-HC26 MINIDV</t>
  </si>
  <si>
    <t>Palmas</t>
  </si>
  <si>
    <t>PA9747</t>
  </si>
  <si>
    <t>CÂMERA DIGITAL HP PHOTOSMART M525 6.0 MP</t>
  </si>
  <si>
    <t>CELULAR TIM NOKIA 6101 COM CÂMERA PRÉ-PAGO</t>
  </si>
  <si>
    <t>CELULAR VIVO MOTOROLA V260 PÓS-PAGO</t>
  </si>
  <si>
    <t>CELULAR VIVO NOKIA 2255 PRÉ-PAGO</t>
  </si>
  <si>
    <t>Rio de Janeiro</t>
  </si>
  <si>
    <t>RJ4351</t>
  </si>
  <si>
    <t>Goiânia</t>
  </si>
  <si>
    <t>GO4378</t>
  </si>
  <si>
    <t>FOGÃO BRASTEMP MAISON BFI76B</t>
  </si>
  <si>
    <t>Porto Alegre</t>
  </si>
  <si>
    <t>POA743</t>
  </si>
  <si>
    <t>IMPRESSORA SAMSUNG LASER ML-1610</t>
  </si>
  <si>
    <t>LAVADORA ROUPAS BRASTEMP LM TOTAL BWL07A 7 KG</t>
  </si>
  <si>
    <t>LENOXX AR-572</t>
  </si>
  <si>
    <t>PANASONIC CQ-C1301LM</t>
  </si>
  <si>
    <t>TECLADO BENQ PS2 P010</t>
  </si>
  <si>
    <t>TELEFONE S/ FIO PANASONIC KX-TG2835LBB</t>
  </si>
  <si>
    <t>TELEFONE S/ FIO SIEMENS A5000</t>
  </si>
  <si>
    <t>João Pessoa</t>
  </si>
  <si>
    <t>JP3410</t>
  </si>
  <si>
    <t>Salvador</t>
  </si>
  <si>
    <t>SA3625</t>
  </si>
  <si>
    <t>IMPRESSORA HP LASERJET COLORIDA 2600N</t>
  </si>
  <si>
    <t>SONY XPLOD CDX-GT207X</t>
  </si>
  <si>
    <t>TV LCD SAMSUNG 26" LN26R51B</t>
  </si>
  <si>
    <t>CÂMERA DE VÍDEO SONY DCR-DVD105 DVD</t>
  </si>
  <si>
    <t>CARTUCHO TINTA HP PRETO C8727A</t>
  </si>
  <si>
    <t>Vitória</t>
  </si>
  <si>
    <t>VIC367</t>
  </si>
  <si>
    <t>JVC KDG-279UR</t>
  </si>
  <si>
    <t>REFRIGERADOR BOSCH KSV47 GLASS LINE</t>
  </si>
  <si>
    <t>CELULAR VIVO MOTOROLA V265 PÓS-PAGO</t>
  </si>
  <si>
    <t>CÂMERA DIGITAL SONY CYBER-SHOT® DSC-S600 6.0 MP</t>
  </si>
  <si>
    <t>Valor da Venda</t>
  </si>
  <si>
    <t>Data da Venda</t>
  </si>
  <si>
    <t>Nome do Produto</t>
  </si>
  <si>
    <t>Preço Unitário</t>
  </si>
  <si>
    <t>Quantidade Vendida</t>
  </si>
  <si>
    <t>Preço Final</t>
  </si>
  <si>
    <t>Alex Vols</t>
  </si>
  <si>
    <t>Emerson Paredes</t>
  </si>
  <si>
    <t>João Guilherme</t>
  </si>
  <si>
    <t>ID de estoque</t>
  </si>
  <si>
    <t>Valor a Pagar R$</t>
  </si>
  <si>
    <t>IN346</t>
  </si>
  <si>
    <t>IN616</t>
  </si>
  <si>
    <t>IN89</t>
  </si>
  <si>
    <t>IN158</t>
  </si>
  <si>
    <t>IN234</t>
  </si>
  <si>
    <t>IN306</t>
  </si>
  <si>
    <t>IN516</t>
  </si>
  <si>
    <t>IN599</t>
  </si>
  <si>
    <t>IN181</t>
  </si>
  <si>
    <t>IN859</t>
  </si>
  <si>
    <t>IN417</t>
  </si>
  <si>
    <t>IN571</t>
  </si>
  <si>
    <t>IN438</t>
  </si>
  <si>
    <t>IN733</t>
  </si>
  <si>
    <t>IN655</t>
  </si>
  <si>
    <t>IN48</t>
  </si>
  <si>
    <t>IN740</t>
  </si>
  <si>
    <t>IN811</t>
  </si>
  <si>
    <t>IN751</t>
  </si>
  <si>
    <t>IN127</t>
  </si>
  <si>
    <t>IN180</t>
  </si>
  <si>
    <t>IN113</t>
  </si>
  <si>
    <t>IN901</t>
  </si>
  <si>
    <t>IN602</t>
  </si>
  <si>
    <t>IN385</t>
  </si>
  <si>
    <t>IN197</t>
  </si>
  <si>
    <t>IN515</t>
  </si>
  <si>
    <t>IN220</t>
  </si>
  <si>
    <t>IN362</t>
  </si>
  <si>
    <t>IN619</t>
  </si>
  <si>
    <t>IN534</t>
  </si>
  <si>
    <t>IN882</t>
  </si>
  <si>
    <t>IN447</t>
  </si>
  <si>
    <t>IN593</t>
  </si>
  <si>
    <t>IN984</t>
  </si>
  <si>
    <t>IN701</t>
  </si>
  <si>
    <t>IN894</t>
  </si>
  <si>
    <t>IN893</t>
  </si>
  <si>
    <t>IN398</t>
  </si>
  <si>
    <t>IN296</t>
  </si>
  <si>
    <t>IN710</t>
  </si>
  <si>
    <t>IN365</t>
  </si>
  <si>
    <t>IN572</t>
  </si>
  <si>
    <t>IN25</t>
  </si>
  <si>
    <t>IN239</t>
  </si>
  <si>
    <t>IN174</t>
  </si>
  <si>
    <t>IN327</t>
  </si>
  <si>
    <t>IN307</t>
  </si>
  <si>
    <t>IN390</t>
  </si>
  <si>
    <t>IN71</t>
  </si>
  <si>
    <t>IN595</t>
  </si>
  <si>
    <t>IN776</t>
  </si>
  <si>
    <t>IN247</t>
  </si>
  <si>
    <t>IN339</t>
  </si>
  <si>
    <t>IN443</t>
  </si>
  <si>
    <t>IN790</t>
  </si>
  <si>
    <t>IN333</t>
  </si>
  <si>
    <t>IN182</t>
  </si>
  <si>
    <t>IN925</t>
  </si>
  <si>
    <t>IN184</t>
  </si>
  <si>
    <t>IN397</t>
  </si>
  <si>
    <t>IN817</t>
  </si>
  <si>
    <t>IN618</t>
  </si>
  <si>
    <t>IN837</t>
  </si>
  <si>
    <t>IN387</t>
  </si>
  <si>
    <t>IN427</t>
  </si>
  <si>
    <t>IN959</t>
  </si>
  <si>
    <t>IN62</t>
  </si>
  <si>
    <t>IN514</t>
  </si>
  <si>
    <t>IN52</t>
  </si>
  <si>
    <t>IN199</t>
  </si>
  <si>
    <t>IN349</t>
  </si>
  <si>
    <t>IN153</t>
  </si>
  <si>
    <t>IN920</t>
  </si>
  <si>
    <t>IN977</t>
  </si>
  <si>
    <t>IN245</t>
  </si>
  <si>
    <t>IN405</t>
  </si>
  <si>
    <t>IN685</t>
  </si>
  <si>
    <t>IN861</t>
  </si>
  <si>
    <t>Nome</t>
  </si>
  <si>
    <t>Nota 1</t>
  </si>
  <si>
    <t>Nota 2</t>
  </si>
  <si>
    <t>Nota Final</t>
  </si>
  <si>
    <t>Nota 3</t>
  </si>
  <si>
    <t>Nota 4</t>
  </si>
  <si>
    <t>Valor ISS
 (5%)</t>
  </si>
  <si>
    <t>Valor ICMS 
(12,5%)</t>
  </si>
  <si>
    <t>Valor IPI
 (11%)</t>
  </si>
  <si>
    <t>Valor do Desconto 
(15%)</t>
  </si>
  <si>
    <t>EXEMPLO 1</t>
  </si>
  <si>
    <t>Data Atual</t>
  </si>
  <si>
    <t>Nº do Chamado</t>
  </si>
  <si>
    <t>Operado</t>
  </si>
  <si>
    <t>Hora de Abertura</t>
  </si>
  <si>
    <t>Hora de Parada</t>
  </si>
  <si>
    <t>Retorno de Atendimento</t>
  </si>
  <si>
    <t>Encerramento do Atendimento</t>
  </si>
  <si>
    <r>
      <t xml:space="preserve">" </t>
    </r>
    <r>
      <rPr>
        <b/>
        <sz val="11"/>
        <color theme="1"/>
        <rFont val="Calibri"/>
        <family val="2"/>
        <scheme val="minor"/>
      </rPr>
      <t>CTRL + ; "</t>
    </r>
  </si>
  <si>
    <t>FD54785</t>
  </si>
  <si>
    <t>Aplicando a Função HOJE</t>
  </si>
  <si>
    <t>VC25478</t>
  </si>
  <si>
    <t>NB5698874</t>
  </si>
  <si>
    <t>EXEMPLO 2</t>
  </si>
  <si>
    <t>Data de Abertura</t>
  </si>
  <si>
    <t>Data de Parada</t>
  </si>
  <si>
    <t>Data Retorno de Atendimento</t>
  </si>
  <si>
    <t>Data Encerramento do Atendimento</t>
  </si>
  <si>
    <t>Termpo Gasto (dias)</t>
  </si>
  <si>
    <t>Data e Hora Atual</t>
  </si>
  <si>
    <r>
      <t xml:space="preserve">" </t>
    </r>
    <r>
      <rPr>
        <b/>
        <sz val="11"/>
        <color theme="1"/>
        <rFont val="Calibri"/>
        <family val="2"/>
        <scheme val="minor"/>
      </rPr>
      <t>CTRL + SHFIT + : "</t>
    </r>
  </si>
  <si>
    <t>EXEMPLO 3</t>
  </si>
  <si>
    <t>Aplicando a Função AGORA</t>
  </si>
  <si>
    <t>Data Atual:</t>
  </si>
  <si>
    <t>Tarefa</t>
  </si>
  <si>
    <t>Data de Entrega</t>
  </si>
  <si>
    <t>Prazo em dias</t>
  </si>
  <si>
    <t>Tarefa 01</t>
  </si>
  <si>
    <t>Tarefa 02</t>
  </si>
  <si>
    <t>Tarefa 03</t>
  </si>
  <si>
    <t>Tarefa 04</t>
  </si>
  <si>
    <t>Tarefa 05</t>
  </si>
  <si>
    <t>Tarefa 06</t>
  </si>
  <si>
    <t>Dias em Atraso</t>
  </si>
  <si>
    <t>Função MAIOR E MENOR</t>
  </si>
  <si>
    <t>Função MÁXIMO E MÍNIMO</t>
  </si>
  <si>
    <t>Valor Unitário</t>
  </si>
  <si>
    <t>Valor a Pagar</t>
  </si>
  <si>
    <t>Qual a 3ª maior venda?</t>
  </si>
  <si>
    <t>Qual a maior venda?</t>
  </si>
  <si>
    <t>Qual a 5ª menor quantidade</t>
  </si>
  <si>
    <t>Qual a menor venda?</t>
  </si>
  <si>
    <t>FUNÇÃO MÉDIA</t>
  </si>
  <si>
    <t>Matrícula</t>
  </si>
  <si>
    <t>Média das Notas</t>
  </si>
  <si>
    <t>TI13715</t>
  </si>
  <si>
    <t>TI15475</t>
  </si>
  <si>
    <t>TI13061</t>
  </si>
  <si>
    <t>TI19209</t>
  </si>
  <si>
    <t>Medidas e Modo</t>
  </si>
  <si>
    <t>Mediana</t>
  </si>
  <si>
    <t>Data</t>
  </si>
  <si>
    <t>NF</t>
  </si>
  <si>
    <t>Produtos</t>
  </si>
  <si>
    <t>Estados</t>
  </si>
  <si>
    <t>Vendedor</t>
  </si>
  <si>
    <t>Setor</t>
  </si>
  <si>
    <t>Quantidade</t>
  </si>
  <si>
    <t>Total</t>
  </si>
  <si>
    <t>Qual  quantidade de NF declaradas:</t>
  </si>
  <si>
    <t>NF 25</t>
  </si>
  <si>
    <t>Produto A</t>
  </si>
  <si>
    <t>SP</t>
  </si>
  <si>
    <t>Campinas</t>
  </si>
  <si>
    <t>Marina</t>
  </si>
  <si>
    <t>Setor 3</t>
  </si>
  <si>
    <t>Qual a quantidade de Valor Unitário declarado?</t>
  </si>
  <si>
    <t>NF 45</t>
  </si>
  <si>
    <t>Produto B</t>
  </si>
  <si>
    <t>Ribeirão Preto</t>
  </si>
  <si>
    <t>Marcos</t>
  </si>
  <si>
    <t>Setor 2</t>
  </si>
  <si>
    <t>Qual a quantidade de celulas vazias na planilha?</t>
  </si>
  <si>
    <t>NF 65</t>
  </si>
  <si>
    <t>PR</t>
  </si>
  <si>
    <t>Sandra</t>
  </si>
  <si>
    <t>Setor 4</t>
  </si>
  <si>
    <t>NF 85</t>
  </si>
  <si>
    <t>João</t>
  </si>
  <si>
    <t>Setor 1</t>
  </si>
  <si>
    <t>NF 105</t>
  </si>
  <si>
    <t>RJ</t>
  </si>
  <si>
    <t>NF 857</t>
  </si>
  <si>
    <t>Produto C</t>
  </si>
  <si>
    <t>NF 145</t>
  </si>
  <si>
    <t>Produto D</t>
  </si>
  <si>
    <t>NF 165</t>
  </si>
  <si>
    <t>DF</t>
  </si>
  <si>
    <t>Brasilia</t>
  </si>
  <si>
    <t>NF 185</t>
  </si>
  <si>
    <t>NF 205</t>
  </si>
  <si>
    <t>NF 225</t>
  </si>
  <si>
    <t>NF 245</t>
  </si>
  <si>
    <t>NF 265</t>
  </si>
  <si>
    <t>NF 285</t>
  </si>
  <si>
    <t>Duração (Hs)</t>
  </si>
  <si>
    <t>Qual a quantidade de notas &lt;7?</t>
  </si>
  <si>
    <t>Qual a quantidade de notas &gt;=7?</t>
  </si>
  <si>
    <t>Qual o total de alunos avaliados?</t>
  </si>
  <si>
    <t>Avaliar</t>
  </si>
  <si>
    <t>Qual a quantidade total de venda realizada?</t>
  </si>
  <si>
    <t>Qual o totalização do faturamento?</t>
  </si>
  <si>
    <t>Qual a totalização de vendas para o RJ?</t>
  </si>
  <si>
    <t>Qual a contagem vendida do Produto A?</t>
  </si>
  <si>
    <t>Qual a contagem vendida por Sandra?</t>
  </si>
  <si>
    <t>Qual a contagem vendida de quantidades &gt;=115?</t>
  </si>
  <si>
    <t>Qual a totalização de vendas de Marcos?</t>
  </si>
  <si>
    <t>Qual a totalzação de vendas do Produto C?</t>
  </si>
  <si>
    <t>Qual a totalização de vendas para valores &gt;= 20000?</t>
  </si>
  <si>
    <t>Qual a total da média de vendas para o RJ?</t>
  </si>
  <si>
    <t>Qual a soma da quantidade total de produtos vendidos?</t>
  </si>
  <si>
    <t>Qual o valor da maior venda?</t>
  </si>
  <si>
    <t>Qual o valor da 6ª maior venda?</t>
  </si>
  <si>
    <t>Qual o menor valor de venda?</t>
  </si>
  <si>
    <t>Qual o 10º menor valor de venda?</t>
  </si>
  <si>
    <t>Data de Pagamento</t>
  </si>
  <si>
    <t>NFs</t>
  </si>
  <si>
    <t>Calcular</t>
  </si>
  <si>
    <t>Maria Clara Ramos</t>
  </si>
  <si>
    <t>Ana Paula Vieira</t>
  </si>
  <si>
    <t>Gabriel Souza</t>
  </si>
  <si>
    <t>Camila Oliveira</t>
  </si>
  <si>
    <t>Rafael Costa</t>
  </si>
  <si>
    <t>Larissa Santos</t>
  </si>
  <si>
    <t>Matheus Oliveira</t>
  </si>
  <si>
    <t>Beatriz Rocha</t>
  </si>
  <si>
    <t>Bruno Santos</t>
  </si>
  <si>
    <t>Fernanda Lima</t>
  </si>
  <si>
    <t>Felipe Rocha</t>
  </si>
  <si>
    <t>Carolina Martins</t>
  </si>
  <si>
    <t>Gustavo Lima</t>
  </si>
  <si>
    <t>Patrícia Ribeiro</t>
  </si>
  <si>
    <t>André Martins</t>
  </si>
  <si>
    <t>Vanessa Carvalho</t>
  </si>
  <si>
    <t>Daniel Ribeiro</t>
  </si>
  <si>
    <t>Daniela Mendes</t>
  </si>
  <si>
    <t>Eduardo Carvalho</t>
  </si>
  <si>
    <t>Aline Barros</t>
  </si>
  <si>
    <t>Leonardo Mendes</t>
  </si>
  <si>
    <t>Renata Pinto</t>
  </si>
  <si>
    <t>Thiago Barros</t>
  </si>
  <si>
    <t>Simone Nunes</t>
  </si>
  <si>
    <t>Alexandre Pinto</t>
  </si>
  <si>
    <t>Tatiane Teixeira</t>
  </si>
  <si>
    <t>Rodrigo Nunes</t>
  </si>
  <si>
    <t>Gabriela Moreira</t>
  </si>
  <si>
    <t>Marcelo Teixeira</t>
  </si>
  <si>
    <t>Bianca Castro</t>
  </si>
  <si>
    <t>Vinícius Moreira</t>
  </si>
  <si>
    <t>Juliana Lopes</t>
  </si>
  <si>
    <t>Diego Castro</t>
  </si>
  <si>
    <t>Amanda Almeida</t>
  </si>
  <si>
    <t>Carlos Henrique Lopes</t>
  </si>
  <si>
    <t>Mariana Correia</t>
  </si>
  <si>
    <t>João Pedro Almeida</t>
  </si>
  <si>
    <t>Maria Eduarda Silva</t>
  </si>
  <si>
    <t>Luiz Fernando Correia</t>
  </si>
  <si>
    <t>Ana Beatriz Costa</t>
  </si>
  <si>
    <t>Paulo Sérgio Ramos</t>
  </si>
  <si>
    <t>Júlia Vitória Oliveira</t>
  </si>
  <si>
    <t>Antônio Marcos Vieira</t>
  </si>
  <si>
    <t>Camila Helena Santos</t>
  </si>
  <si>
    <t>José Augusto Farias</t>
  </si>
  <si>
    <t>Larissa Gabriela Rocha</t>
  </si>
  <si>
    <t>Victor Hugo Cardoso</t>
  </si>
  <si>
    <t>Beatriz Vitória Lima</t>
  </si>
  <si>
    <t>Henrique Almeida</t>
  </si>
  <si>
    <t>Fernanda Cristina Martins</t>
  </si>
  <si>
    <t>Samuel Batista</t>
  </si>
  <si>
    <t>Carolina Helena Ribeiro</t>
  </si>
  <si>
    <t>Caio Moura</t>
  </si>
  <si>
    <t>Patrícia Vitória Carvalho</t>
  </si>
  <si>
    <t>Jorge Luiz Tavares</t>
  </si>
  <si>
    <t>Vanessa Gabriela Mendes</t>
  </si>
  <si>
    <t>Everton Gomes</t>
  </si>
  <si>
    <t>Tatiane Vitória Duarte</t>
  </si>
  <si>
    <t>Fábio Araújo</t>
  </si>
  <si>
    <t>Gabriela Cristina Monteiro</t>
  </si>
  <si>
    <t>Renato Cunha</t>
  </si>
  <si>
    <t>Bianca Luiza Freitas</t>
  </si>
  <si>
    <t>Adriano Pires</t>
  </si>
  <si>
    <t>Juliana Helena Andrade</t>
  </si>
  <si>
    <t>Igor Santana</t>
  </si>
  <si>
    <t>Amanda Vitória Lima</t>
  </si>
  <si>
    <t>Wallace Brito</t>
  </si>
  <si>
    <t>Mariana Gabriela Souza</t>
  </si>
  <si>
    <t>Cristiano Duarte</t>
  </si>
  <si>
    <t>Maria Helena Cardoso</t>
  </si>
  <si>
    <t>Sérgio Monteiro</t>
  </si>
  <si>
    <t>Ana Luiza Barros</t>
  </si>
  <si>
    <t>Maurício Freitas</t>
  </si>
  <si>
    <t>Camila Vitória Moura</t>
  </si>
  <si>
    <t>Roberto Andrade</t>
  </si>
  <si>
    <t>Larissa Helena Cunha</t>
  </si>
  <si>
    <t>João Vitor Lima</t>
  </si>
  <si>
    <t>Beatriz Gabriela Tavares</t>
  </si>
  <si>
    <t>Pedro Henrique Souza</t>
  </si>
  <si>
    <t>Fernanda Vitória Gomes</t>
  </si>
  <si>
    <t>Lucas Gabriel Costa</t>
  </si>
  <si>
    <t>Carolina Luiza Andrade</t>
  </si>
  <si>
    <t>Rafael Augusto Silva</t>
  </si>
  <si>
    <t>Patrícia Helena Duarte</t>
  </si>
  <si>
    <t>Matheus Henrique Almeida</t>
  </si>
  <si>
    <t>Vanessa Luiza Monteiro</t>
  </si>
  <si>
    <t>Bruno César Rocha</t>
  </si>
  <si>
    <t>Gabriela Vitória Lima</t>
  </si>
  <si>
    <t>Felipe André Martins</t>
  </si>
  <si>
    <t>Aline Helena Castro</t>
  </si>
  <si>
    <t>Gustavo Henrique Oliveira</t>
  </si>
  <si>
    <t>Renata Vitória Mendes</t>
  </si>
  <si>
    <t>André Luiz Ribeiro</t>
  </si>
  <si>
    <t>Simone Gabriela Freitas</t>
  </si>
  <si>
    <t>Daniel Augusto Carvalho</t>
  </si>
  <si>
    <t>Tatiane Helena Andrade</t>
  </si>
  <si>
    <t>João Gomes da Silva</t>
  </si>
  <si>
    <t>Pedro Almeida de Jesus</t>
  </si>
  <si>
    <t>Lucas Ferreira Cury</t>
  </si>
  <si>
    <t>Júlia Costa Fialho</t>
  </si>
  <si>
    <t>Qual o total de vendas da região Sudeste?</t>
  </si>
  <si>
    <t>Qual o total de vendas de FREEZER VERTICAL CONSUL CVT10B?</t>
  </si>
  <si>
    <t>Mês Referência</t>
  </si>
  <si>
    <t>Junho</t>
  </si>
  <si>
    <t>Janeiro</t>
  </si>
  <si>
    <t>Agosto</t>
  </si>
  <si>
    <t>Outubro</t>
  </si>
  <si>
    <t>Abril</t>
  </si>
  <si>
    <t>Maio</t>
  </si>
  <si>
    <t>Novembro</t>
  </si>
  <si>
    <t>Julho</t>
  </si>
  <si>
    <t>Dezembro</t>
  </si>
  <si>
    <t>Setembro</t>
  </si>
  <si>
    <t>Março</t>
  </si>
  <si>
    <t>Fevereiro</t>
  </si>
  <si>
    <t>Qual o total de vendas em Julho?</t>
  </si>
  <si>
    <t>Multa por atraso
(0,2%/dia)</t>
  </si>
  <si>
    <t>Resultado</t>
  </si>
  <si>
    <t>Avaliação</t>
  </si>
  <si>
    <t>Resposta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</si>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</sst>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h:mm;@"/>
    <numFmt numFmtId="165" formatCode="0.0"/>
    <numFmt numFmtId="166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C2E6B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5" fillId="5" borderId="0" applyNumberFormat="0" applyBorder="0" applyProtection="0"/>
    <xf numFmtId="0" fontId="9" fillId="0" borderId="0"/>
    <xf numFmtId="0" fontId="1" fillId="0" borderId="0"/>
    <xf numFmtId="0" fontId="3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1"/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1" xfId="1" applyFont="1" applyBorder="1"/>
    <xf numFmtId="0" fontId="3" fillId="0" borderId="1" xfId="1" applyBorder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1" applyNumberFormat="1" applyFont="1"/>
    <xf numFmtId="0" fontId="2" fillId="3" borderId="0" xfId="1" applyFont="1" applyFill="1"/>
    <xf numFmtId="0" fontId="2" fillId="0" borderId="0" xfId="1" applyFont="1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2" fillId="4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center" wrapText="1"/>
    </xf>
    <xf numFmtId="14" fontId="1" fillId="0" borderId="1" xfId="1" applyNumberFormat="1" applyFont="1" applyBorder="1" applyAlignment="1">
      <alignment horizontal="center"/>
    </xf>
    <xf numFmtId="14" fontId="1" fillId="0" borderId="1" xfId="1" applyNumberFormat="1" applyFont="1" applyBorder="1"/>
    <xf numFmtId="0" fontId="7" fillId="0" borderId="0" xfId="1" applyFont="1"/>
    <xf numFmtId="14" fontId="8" fillId="6" borderId="4" xfId="4" applyNumberFormat="1" applyFont="1" applyFill="1" applyBorder="1" applyAlignment="1">
      <alignment horizontal="center"/>
    </xf>
    <xf numFmtId="0" fontId="6" fillId="0" borderId="5" xfId="5" applyFont="1" applyBorder="1" applyAlignment="1">
      <alignment horizontal="center"/>
    </xf>
    <xf numFmtId="44" fontId="6" fillId="0" borderId="5" xfId="3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8" fillId="6" borderId="4" xfId="4" applyFont="1" applyFill="1" applyBorder="1" applyAlignment="1">
      <alignment horizontal="center"/>
    </xf>
    <xf numFmtId="1" fontId="8" fillId="6" borderId="4" xfId="4" applyNumberFormat="1" applyFont="1" applyFill="1" applyBorder="1" applyAlignment="1">
      <alignment horizontal="center"/>
    </xf>
    <xf numFmtId="44" fontId="8" fillId="6" borderId="4" xfId="3" applyFont="1" applyFill="1" applyBorder="1" applyAlignment="1">
      <alignment horizontal="center"/>
    </xf>
    <xf numFmtId="14" fontId="1" fillId="0" borderId="4" xfId="3" applyNumberFormat="1" applyFont="1" applyBorder="1" applyAlignment="1">
      <alignment horizontal="center"/>
    </xf>
    <xf numFmtId="0" fontId="1" fillId="0" borderId="4" xfId="3" applyNumberFormat="1" applyFont="1" applyBorder="1" applyAlignment="1">
      <alignment horizontal="center"/>
    </xf>
    <xf numFmtId="1" fontId="1" fillId="0" borderId="4" xfId="3" applyNumberFormat="1" applyFont="1" applyBorder="1" applyAlignment="1">
      <alignment horizontal="center"/>
    </xf>
    <xf numFmtId="44" fontId="1" fillId="0" borderId="4" xfId="3" applyFont="1" applyBorder="1" applyAlignment="1">
      <alignment horizontal="center"/>
    </xf>
    <xf numFmtId="0" fontId="2" fillId="7" borderId="1" xfId="6" applyFont="1" applyFill="1" applyBorder="1" applyAlignment="1">
      <alignment horizontal="center" vertical="center"/>
    </xf>
    <xf numFmtId="44" fontId="2" fillId="7" borderId="1" xfId="6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/>
    </xf>
    <xf numFmtId="14" fontId="1" fillId="0" borderId="1" xfId="6" applyNumberFormat="1" applyBorder="1" applyAlignment="1">
      <alignment horizontal="center" vertical="center"/>
    </xf>
    <xf numFmtId="0" fontId="1" fillId="0" borderId="1" xfId="6" applyBorder="1" applyAlignment="1">
      <alignment horizontal="left"/>
    </xf>
    <xf numFmtId="0" fontId="1" fillId="0" borderId="1" xfId="6" applyBorder="1" applyAlignment="1">
      <alignment horizontal="left" vertical="center"/>
    </xf>
    <xf numFmtId="0" fontId="1" fillId="0" borderId="1" xfId="6" applyBorder="1" applyAlignment="1">
      <alignment horizontal="center" vertical="center"/>
    </xf>
    <xf numFmtId="44" fontId="1" fillId="0" borderId="1" xfId="6" applyNumberFormat="1" applyBorder="1"/>
    <xf numFmtId="44" fontId="1" fillId="0" borderId="1" xfId="6" applyNumberFormat="1" applyBorder="1" applyAlignment="1">
      <alignment horizontal="center"/>
    </xf>
    <xf numFmtId="1" fontId="1" fillId="0" borderId="1" xfId="6" applyNumberFormat="1" applyBorder="1" applyAlignment="1">
      <alignment horizontal="center"/>
    </xf>
    <xf numFmtId="0" fontId="1" fillId="0" borderId="0" xfId="6"/>
    <xf numFmtId="0" fontId="1" fillId="0" borderId="0" xfId="6" applyAlignment="1">
      <alignment horizontal="center" vertical="center"/>
    </xf>
    <xf numFmtId="0" fontId="1" fillId="0" borderId="0" xfId="6" applyAlignment="1">
      <alignment horizontal="left"/>
    </xf>
    <xf numFmtId="0" fontId="1" fillId="0" borderId="0" xfId="6" applyAlignment="1">
      <alignment horizontal="left" vertical="center"/>
    </xf>
    <xf numFmtId="44" fontId="1" fillId="0" borderId="0" xfId="6" applyNumberFormat="1"/>
    <xf numFmtId="0" fontId="1" fillId="0" borderId="0" xfId="6" applyAlignment="1">
      <alignment horizontal="center"/>
    </xf>
    <xf numFmtId="1" fontId="1" fillId="0" borderId="0" xfId="6" applyNumberFormat="1" applyAlignment="1">
      <alignment horizontal="center"/>
    </xf>
    <xf numFmtId="0" fontId="1" fillId="0" borderId="1" xfId="6" applyBorder="1" applyAlignment="1">
      <alignment horizontal="center"/>
    </xf>
    <xf numFmtId="2" fontId="1" fillId="0" borderId="1" xfId="6" applyNumberFormat="1" applyBorder="1" applyAlignment="1">
      <alignment horizontal="center"/>
    </xf>
    <xf numFmtId="0" fontId="2" fillId="8" borderId="1" xfId="7" applyFont="1" applyFill="1" applyBorder="1" applyAlignment="1">
      <alignment horizontal="center" vertical="center"/>
    </xf>
    <xf numFmtId="0" fontId="3" fillId="0" borderId="0" xfId="7"/>
    <xf numFmtId="0" fontId="3" fillId="0" borderId="0" xfId="7" applyAlignment="1">
      <alignment vertical="center"/>
    </xf>
    <xf numFmtId="0" fontId="1" fillId="0" borderId="1" xfId="7" applyFont="1" applyBorder="1" applyAlignment="1">
      <alignment horizontal="center"/>
    </xf>
    <xf numFmtId="166" fontId="1" fillId="0" borderId="1" xfId="7" applyNumberFormat="1" applyFont="1" applyBorder="1"/>
    <xf numFmtId="0" fontId="1" fillId="0" borderId="0" xfId="7" applyFont="1"/>
    <xf numFmtId="0" fontId="3" fillId="0" borderId="0" xfId="7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2" fillId="7" borderId="1" xfId="6" applyNumberFormat="1" applyFont="1" applyFill="1" applyBorder="1" applyAlignment="1">
      <alignment horizontal="center" vertical="center"/>
    </xf>
    <xf numFmtId="14" fontId="1" fillId="0" borderId="1" xfId="7" applyNumberFormat="1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8" borderId="1" xfId="7" applyFont="1" applyFill="1" applyBorder="1" applyAlignment="1">
      <alignment horizontal="center" vertical="center" wrapText="1"/>
    </xf>
    <xf numFmtId="0" fontId="1" fillId="0" borderId="1" xfId="6" applyBorder="1"/>
    <xf numFmtId="0" fontId="2" fillId="9" borderId="0" xfId="0" applyFont="1" applyFill="1"/>
    <xf numFmtId="1" fontId="2" fillId="2" borderId="1" xfId="6" applyNumberFormat="1" applyFont="1" applyFill="1" applyBorder="1" applyAlignment="1">
      <alignment horizontal="center"/>
    </xf>
    <xf numFmtId="0" fontId="2" fillId="2" borderId="1" xfId="6" applyFont="1" applyFill="1" applyBorder="1" applyAlignment="1">
      <alignment horizontal="center"/>
    </xf>
    <xf numFmtId="0" fontId="2" fillId="3" borderId="1" xfId="6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8">
    <cellStyle name="Cabeçalho 3 2" xfId="4" xr:uid="{4CF1AC27-3B84-4AC8-B330-741748D37C58}"/>
    <cellStyle name="Moeda 2" xfId="3" xr:uid="{8D5B25E7-4132-4BC3-AC66-DFD01889CFD3}"/>
    <cellStyle name="Normal" xfId="0" builtinId="0"/>
    <cellStyle name="Normal 2" xfId="1" xr:uid="{E8052155-AAE8-4CEE-90A1-8A1AA6FF07C8}"/>
    <cellStyle name="Normal 2 3" xfId="7" xr:uid="{10964EA7-06FD-49AC-95C3-6B8F6BC978DD}"/>
    <cellStyle name="Normal 3" xfId="2" xr:uid="{FD2F63BB-5E24-4F5C-9A5E-E0D85609D8AA}"/>
    <cellStyle name="Normal 4" xfId="5" xr:uid="{FE5088E9-894C-4A08-B87C-EAE332367120}"/>
    <cellStyle name="Normal 5" xfId="6" xr:uid="{08BB287E-2B26-44CA-9C9D-5252C3944AEE}"/>
  </cellStyles>
  <dxfs count="0"/>
  <tableStyles count="1" defaultTableStyle="TableStyleMedium2" defaultPivotStyle="PivotStyleLight16">
    <tableStyle name="Invisible" pivot="0" table="0" count="0" xr9:uid="{E5CF253F-B961-4796-A81A-B5681B04DF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18</xdr:col>
      <xdr:colOff>9525</xdr:colOff>
      <xdr:row>34</xdr:row>
      <xdr:rowOff>47625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A5545F3F-3264-457A-8BC4-AFCBFB36CE62}"/>
            </a:ext>
          </a:extLst>
        </xdr:cNvPr>
        <xdr:cNvSpPr/>
      </xdr:nvSpPr>
      <xdr:spPr>
        <a:xfrm>
          <a:off x="0" y="800100"/>
          <a:ext cx="12353925" cy="54006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2200">
            <a:solidFill>
              <a:sysClr val="windowText" lastClr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192855</xdr:colOff>
      <xdr:row>5</xdr:row>
      <xdr:rowOff>31055</xdr:rowOff>
    </xdr:from>
    <xdr:to>
      <xdr:col>7</xdr:col>
      <xdr:colOff>591359</xdr:colOff>
      <xdr:row>8</xdr:row>
      <xdr:rowOff>103802</xdr:rowOff>
    </xdr:to>
    <xdr:sp macro="" textlink="">
      <xdr:nvSpPr>
        <xdr:cNvPr id="3" name="Etapa" descr="Funções MÍNIMO e MÁXIMO &#10;">
          <a:extLst>
            <a:ext uri="{FF2B5EF4-FFF2-40B4-BE49-F238E27FC236}">
              <a16:creationId xmlns:a16="http://schemas.microsoft.com/office/drawing/2014/main" id="{1A8A13A6-5E5F-4665-9B49-6C2A8E77EACA}"/>
            </a:ext>
          </a:extLst>
        </xdr:cNvPr>
        <xdr:cNvSpPr txBox="1"/>
      </xdr:nvSpPr>
      <xdr:spPr>
        <a:xfrm>
          <a:off x="192855" y="935930"/>
          <a:ext cx="5199104" cy="615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 i="0" u="none" strike="noStrike" kern="120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Competencias</a:t>
          </a:r>
          <a:r>
            <a:rPr lang="pt-BR" sz="2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à desenvolver</a:t>
          </a:r>
          <a:endParaRPr kumimoji="0" lang="en-US" sz="2200" b="1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ourier New" panose="02070309020205020404" pitchFamily="49" charset="0"/>
            <a:ea typeface="Segoe UI" pitchFamily="34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0</xdr:col>
      <xdr:colOff>212611</xdr:colOff>
      <xdr:row>8</xdr:row>
      <xdr:rowOff>104776</xdr:rowOff>
    </xdr:from>
    <xdr:to>
      <xdr:col>15</xdr:col>
      <xdr:colOff>561975</xdr:colOff>
      <xdr:row>27</xdr:row>
      <xdr:rowOff>57151</xdr:rowOff>
    </xdr:to>
    <xdr:sp macro="" textlink="">
      <xdr:nvSpPr>
        <xdr:cNvPr id="4" name="Introdução à adição de números" descr="Use a função MÍNIMO para obter o menor número em um intervalo de células.&#10;Use a função MÁXIMO para obter o maior número em um intervalo de células.&#10;">
          <a:extLst>
            <a:ext uri="{FF2B5EF4-FFF2-40B4-BE49-F238E27FC236}">
              <a16:creationId xmlns:a16="http://schemas.microsoft.com/office/drawing/2014/main" id="{23943F0E-C441-4B46-9689-62DE87CC75B1}"/>
            </a:ext>
          </a:extLst>
        </xdr:cNvPr>
        <xdr:cNvSpPr txBox="1"/>
      </xdr:nvSpPr>
      <xdr:spPr>
        <a:xfrm>
          <a:off x="212611" y="1552576"/>
          <a:ext cx="10636364" cy="3390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Fórmulas e funções: Conceitos e Aplicação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Funções Matemáticas e Trigonométricas: SOMA e </a:t>
          </a:r>
          <a:r>
            <a:rPr lang="pt-BR" sz="18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SOMASE </a:t>
          </a: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Funções Estatísticas: MÉDIA, MAXIMO, MINIMO, MAIOR, MENOR, CONT.VALORES, CONT.NUM, CONTAR.VAZIO e CONT.SE e MEDIASE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Funções Data e hora: HOJE e AGORA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Convertento Intervalo em Tabela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Atividades práticas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192855</xdr:colOff>
      <xdr:row>7</xdr:row>
      <xdr:rowOff>133351</xdr:rowOff>
    </xdr:from>
    <xdr:to>
      <xdr:col>16</xdr:col>
      <xdr:colOff>209550</xdr:colOff>
      <xdr:row>7</xdr:row>
      <xdr:rowOff>133351</xdr:rowOff>
    </xdr:to>
    <xdr:cxnSp macro="">
      <xdr:nvCxnSpPr>
        <xdr:cNvPr id="5" name="Linha inferior" descr="Linha decorativa">
          <a:extLst>
            <a:ext uri="{FF2B5EF4-FFF2-40B4-BE49-F238E27FC236}">
              <a16:creationId xmlns:a16="http://schemas.microsoft.com/office/drawing/2014/main" id="{DE4946B1-FC0A-4E2D-97E3-CCED9C7F06FB}"/>
            </a:ext>
          </a:extLst>
        </xdr:cNvPr>
        <xdr:cNvCxnSpPr>
          <a:cxnSpLocks/>
        </xdr:cNvCxnSpPr>
      </xdr:nvCxnSpPr>
      <xdr:spPr>
        <a:xfrm>
          <a:off x="192855" y="1400176"/>
          <a:ext cx="1098949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0</xdr:row>
      <xdr:rowOff>0</xdr:rowOff>
    </xdr:from>
    <xdr:to>
      <xdr:col>18</xdr:col>
      <xdr:colOff>40502</xdr:colOff>
      <xdr:row>4</xdr:row>
      <xdr:rowOff>144880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28C5597-C9F8-4827-B23F-7370CC54961C}"/>
            </a:ext>
          </a:extLst>
        </xdr:cNvPr>
        <xdr:cNvGrpSpPr/>
      </xdr:nvGrpSpPr>
      <xdr:grpSpPr>
        <a:xfrm>
          <a:off x="0" y="0"/>
          <a:ext cx="11089502" cy="868780"/>
          <a:chOff x="0" y="0"/>
          <a:chExt cx="12384902" cy="86878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6ECBD4B-EC9B-974A-240E-2E6C8E66C372}"/>
              </a:ext>
            </a:extLst>
          </xdr:cNvPr>
          <xdr:cNvGrpSpPr/>
        </xdr:nvGrpSpPr>
        <xdr:grpSpPr>
          <a:xfrm>
            <a:off x="0" y="0"/>
            <a:ext cx="12384902" cy="868780"/>
            <a:chOff x="0" y="0"/>
            <a:chExt cx="12384902" cy="868780"/>
          </a:xfrm>
        </xdr:grpSpPr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5DB0B03A-622B-5363-A6D8-401B4A554AE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2" name="Etapa" descr="Funções MÍNIMO e MÁXIMO &#10;">
              <a:extLst>
                <a:ext uri="{FF2B5EF4-FFF2-40B4-BE49-F238E27FC236}">
                  <a16:creationId xmlns:a16="http://schemas.microsoft.com/office/drawing/2014/main" id="{7CE38BC5-9FE1-3FB9-FF0E-61931B99F8BB}"/>
                </a:ext>
              </a:extLst>
            </xdr:cNvPr>
            <xdr:cNvSpPr txBox="1"/>
          </xdr:nvSpPr>
          <xdr:spPr>
            <a:xfrm>
              <a:off x="905052" y="122762"/>
              <a:ext cx="10563048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Competências à desenvolver</a:t>
              </a:r>
            </a:p>
          </xdr:txBody>
        </xdr:sp>
      </xdr:grp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06FC3982-DF37-CB45-2176-25D452E5BCF6}"/>
              </a:ext>
            </a:extLst>
          </xdr:cNvPr>
          <xdr:cNvGrpSpPr/>
        </xdr:nvGrpSpPr>
        <xdr:grpSpPr>
          <a:xfrm>
            <a:off x="11515725" y="76200"/>
            <a:ext cx="763586" cy="720366"/>
            <a:chOff x="10067925" y="1143000"/>
            <a:chExt cx="763047" cy="715334"/>
          </a:xfrm>
        </xdr:grpSpPr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D2A4E594-AAB5-79D5-5508-F86905D03588}"/>
                </a:ext>
              </a:extLst>
            </xdr:cNvPr>
            <xdr:cNvSpPr/>
          </xdr:nvSpPr>
          <xdr:spPr>
            <a:xfrm>
              <a:off x="10067925" y="1143000"/>
              <a:ext cx="763047" cy="715334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rgbClr val="2173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7D85DE6A-5444-DCB8-B3CA-DE5E0BF154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238752" y="1281456"/>
              <a:ext cx="462433" cy="46536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9526</xdr:rowOff>
    </xdr:from>
    <xdr:ext cx="6410325" cy="91249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7DF9878-69DD-4D8F-80EC-E27BB4F71648}"/>
                </a:ext>
              </a:extLst>
            </xdr:cNvPr>
            <xdr:cNvSpPr txBox="1"/>
          </xdr:nvSpPr>
          <xdr:spPr>
            <a:xfrm>
              <a:off x="114300" y="9526"/>
              <a:ext cx="6410325" cy="9124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b="1"/>
                <a:t>📊 Atividade de Excel – Cálculo de IMC </a:t>
              </a:r>
            </a:p>
            <a:p>
              <a:r>
                <a:rPr lang="pt-BR" b="1"/>
                <a:t>🎯 1. Contextualização da atividade (objetivo)</a:t>
              </a:r>
            </a:p>
            <a:p>
              <a:r>
                <a:rPr lang="pt-BR"/>
                <a:t>O objetivo desta atividade é ensinar:</a:t>
              </a:r>
            </a:p>
            <a:p>
              <a:r>
                <a:rPr lang="pt-BR"/>
                <a:t>- O entender o uso do Excel como ferramenta de cálculo </a:t>
              </a:r>
            </a:p>
            <a:p>
              <a:r>
                <a:rPr lang="pt-BR"/>
                <a:t>- Trabalhar com dados numéricos (peso e altura) </a:t>
              </a:r>
            </a:p>
            <a:p>
              <a:r>
                <a:rPr lang="pt-BR"/>
                <a:t>- Aplicar o uso de uma fórmula simples </a:t>
              </a:r>
            </a:p>
            <a:p>
              <a:r>
                <a:rPr lang="pt-BR"/>
                <a:t>- Interpretar o resultado obtido </a:t>
              </a:r>
            </a:p>
            <a:p>
              <a:r>
                <a:rPr lang="pt-BR"/>
                <a:t>Além disso, a atividade busca desenvolver o </a:t>
              </a:r>
              <a:r>
                <a:rPr lang="pt-BR" b="1"/>
                <a:t>raciocínio lógico</a:t>
              </a:r>
              <a:r>
                <a:rPr lang="pt-BR" b="0" baseline="0"/>
                <a:t> com o grupo. Agora o importante é entender o porquê de cada passo.</a:t>
              </a:r>
            </a:p>
            <a:p>
              <a:endParaRPr lang="pt-BR" b="0" baseline="0"/>
            </a:p>
            <a:p>
              <a:r>
                <a:rPr lang="pt-BR" b="1"/>
                <a:t>🧠 2. Fase inicial (ANTES de abrir o Excel)</a:t>
              </a:r>
            </a:p>
            <a:p>
              <a:r>
                <a:rPr lang="pt-BR"/>
                <a:t>Antes de darmos início</a:t>
              </a:r>
              <a:r>
                <a:rPr lang="pt-BR" baseline="0"/>
                <a:t> a </a:t>
              </a:r>
              <a:r>
                <a:rPr lang="pt-BR"/>
                <a:t>digitação</a:t>
              </a:r>
              <a:r>
                <a:rPr lang="pt-BR" baseline="0"/>
                <a:t> da planilha vamos analisar os seguintes pontos:</a:t>
              </a:r>
              <a:endParaRPr lang="pt-BR"/>
            </a:p>
            <a:p>
              <a:r>
                <a:rPr lang="pt-BR" b="1"/>
                <a:t>🔍 O que</a:t>
              </a:r>
              <a:r>
                <a:rPr lang="pt-BR" b="1" baseline="0"/>
                <a:t> devo ter para calcular</a:t>
              </a:r>
              <a:r>
                <a:rPr lang="pt-BR" b="1"/>
                <a:t>?</a:t>
              </a:r>
            </a:p>
            <a:p>
              <a:r>
                <a:rPr lang="pt-BR"/>
                <a:t>-</a:t>
              </a:r>
              <a:r>
                <a:rPr lang="pt-BR" baseline="0"/>
                <a:t> </a:t>
              </a:r>
              <a:r>
                <a:rPr lang="pt-BR"/>
                <a:t>Peso (em kg) </a:t>
              </a:r>
            </a:p>
            <a:p>
              <a:r>
                <a:rPr lang="pt-BR"/>
                <a:t>- Altura (em metros) </a:t>
              </a:r>
            </a:p>
            <a:p>
              <a:endParaRPr lang="pt-BR" b="1"/>
            </a:p>
            <a:p>
              <a:r>
                <a:rPr lang="pt-BR" b="1"/>
                <a:t>🔍 O que eu quero descobrir?</a:t>
              </a:r>
            </a:p>
            <a:p>
              <a:r>
                <a:rPr lang="pt-BR"/>
                <a:t>O IMC (Índice de Massa Corporal)</a:t>
              </a:r>
            </a:p>
            <a:p>
              <a:r>
                <a:rPr lang="pt-BR"/>
                <a:t> </a:t>
              </a:r>
            </a:p>
            <a:p>
              <a:r>
                <a:rPr lang="pt-BR" b="1"/>
                <a:t>🔍 Qual é a lógica a ser empregada</a:t>
              </a:r>
              <a:r>
                <a:rPr lang="pt-BR" b="1" baseline="0"/>
                <a:t> no calculo</a:t>
              </a:r>
              <a:r>
                <a:rPr lang="pt-BR" b="1"/>
                <a:t>?</a:t>
              </a:r>
            </a:p>
            <a:p>
              <a:r>
                <a:rPr lang="pt-BR"/>
                <a:t>- Existe uma fórmula matemática</a:t>
              </a:r>
              <a:r>
                <a:rPr lang="pt-BR" baseline="0"/>
                <a:t> para calcular o IMC que é a base do conceito central</a:t>
              </a:r>
              <a:r>
                <a:rPr lang="pt-BR"/>
                <a:t>:</a:t>
              </a:r>
            </a:p>
            <a:p>
              <a:endParaRPr lang="pt-BR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pt-BR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pt-BR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𝐼𝑀𝐶</m:t>
                  </m:r>
                  <m:r>
                    <a:rPr lang="pt-BR" sz="110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ar-AE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𝑝𝑒𝑠𝑜</m:t>
                      </m:r>
                    </m:num>
                    <m:den>
                      <m:r>
                        <a:rPr lang="ar-AE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𝑎𝑙𝑡𝑢𝑟</m:t>
                      </m:r>
                      <m:sSup>
                        <m:sSupPr>
                          <m:ctrlPr>
                            <a:rPr lang="ar-AE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ar-AE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e>
                        <m:sup>
                          <m:r>
                            <a:rPr lang="ar-AE" sz="110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den>
                  </m:f>
                </m:oMath>
              </a14:m>
              <a:endParaRPr lang="pt-BR"/>
            </a:p>
            <a:p>
              <a:endParaRPr lang="pt-BR"/>
            </a:p>
            <a:p>
              <a:r>
                <a:rPr lang="pt-BR"/>
                <a:t>Simplificando</a:t>
              </a:r>
              <a:r>
                <a:rPr lang="pt-BR" baseline="0"/>
                <a:t> a fórmula é m</a:t>
              </a:r>
              <a:r>
                <a:rPr lang="pt-BR"/>
                <a:t>ultiplicar altura por ela mesma e depois dividir o peso por esse valor </a:t>
              </a:r>
            </a:p>
            <a:p>
              <a:endParaRPr lang="pt-BR" b="1"/>
            </a:p>
            <a:p>
              <a:r>
                <a:rPr lang="pt-BR" b="1"/>
                <a:t>💡 Pensamente</a:t>
              </a:r>
              <a:r>
                <a:rPr lang="pt-BR" b="1" baseline="0"/>
                <a:t> Importante</a:t>
              </a:r>
              <a:endParaRPr lang="pt-BR" b="1"/>
            </a:p>
            <a:p>
              <a:r>
                <a:rPr lang="pt-BR"/>
                <a:t>O Excel </a:t>
              </a:r>
              <a:r>
                <a:rPr lang="pt-BR" b="1"/>
                <a:t>não pensa por você</a:t>
              </a:r>
              <a:r>
                <a:rPr lang="pt-BR"/>
                <a:t> — ele só executa exatamente o que você manda. Se você não entende a lógica, vai travar mesmo.</a:t>
              </a:r>
            </a:p>
            <a:p>
              <a:endParaRPr lang="pt-BR"/>
            </a:p>
            <a:p>
              <a:r>
                <a:rPr lang="pt-BR"/>
                <a:t>💻 </a:t>
              </a:r>
              <a:r>
                <a:rPr lang="pt-BR" b="1"/>
                <a:t>3. Estruturação da planilha</a:t>
              </a:r>
            </a:p>
            <a:p>
              <a:r>
                <a:rPr lang="pt-BR" sz="1100"/>
                <a:t>Vamos</a:t>
              </a:r>
              <a:r>
                <a:rPr lang="pt-BR" sz="1100" baseline="0"/>
                <a:t> organizar a lista de campos que farão parte de nossa planilha. </a:t>
              </a:r>
            </a:p>
            <a:p>
              <a:r>
                <a:rPr lang="pt-BR" sz="1100" baseline="0"/>
                <a:t>Lembre-se de que: </a:t>
              </a:r>
              <a:r>
                <a:rPr lang="pt-BR"/>
                <a:t>Cada coluna tem um tipo de informação e cada linha representa uma pessoa</a:t>
              </a:r>
              <a:endParaRPr lang="pt-BR" sz="1100"/>
            </a:p>
            <a:p>
              <a:endParaRPr lang="pt-BR" sz="1100"/>
            </a:p>
            <a:p>
              <a:r>
                <a:rPr lang="pt-BR"/>
                <a:t>🧮 </a:t>
              </a:r>
              <a:r>
                <a:rPr lang="pt-BR" b="1"/>
                <a:t>4. Cálculos no Excel</a:t>
              </a:r>
            </a:p>
            <a:p>
              <a:r>
                <a:rPr lang="pt-BR"/>
                <a:t>Vamos supor que o valor do peso foi</a:t>
              </a:r>
              <a:r>
                <a:rPr lang="pt-BR" baseline="0"/>
                <a:t> digitado na</a:t>
              </a:r>
              <a:r>
                <a:rPr lang="pt-BR"/>
                <a:t> célula </a:t>
              </a:r>
              <a:r>
                <a:rPr lang="pt-BR" b="1"/>
                <a:t>B2</a:t>
              </a:r>
              <a:r>
                <a:rPr lang="pt-BR"/>
                <a:t> e o valor da altura na C2 podemos elaborar a fórmula de dois</a:t>
              </a:r>
              <a:r>
                <a:rPr lang="pt-BR" baseline="0"/>
                <a:t> modos:</a:t>
              </a:r>
            </a:p>
            <a:p>
              <a:r>
                <a:rPr lang="pt-BR"/>
                <a:t>=B2/(C2*C2)</a:t>
              </a:r>
              <a:endParaRPr lang="pt-BR" sz="1100" baseline="0"/>
            </a:p>
            <a:p>
              <a:r>
                <a:rPr lang="pt-BR" sz="1100" baseline="0"/>
                <a:t>ou</a:t>
              </a:r>
            </a:p>
            <a:p>
              <a:r>
                <a:rPr lang="pt-BR"/>
                <a:t>=B2/(C2^2)</a:t>
              </a:r>
            </a:p>
            <a:p>
              <a:endParaRPr lang="pt-BR"/>
            </a:p>
            <a:p>
              <a:endParaRPr lang="pt-BR"/>
            </a:p>
            <a:p>
              <a:r>
                <a:rPr lang="pt-BR" b="1"/>
                <a:t>🧾 5. Interpretação </a:t>
              </a:r>
            </a:p>
            <a:p>
              <a:r>
                <a:rPr lang="pt-BR"/>
                <a:t>Depois do obtermos o resultado do cálculo do IMC, devemos entender o resultado</a:t>
              </a:r>
              <a:r>
                <a:rPr lang="pt-BR" baseline="0"/>
                <a:t> classificando essa resporta conforme a tabela abaixo:</a:t>
              </a:r>
            </a:p>
            <a:p>
              <a:endParaRPr lang="pt-BR"/>
            </a:p>
            <a:p>
              <a:r>
                <a:rPr lang="pt-BR"/>
                <a:t>Valor IMC	Classificação</a:t>
              </a:r>
            </a:p>
            <a:p>
              <a:r>
                <a:rPr lang="pt-BR"/>
                <a:t>&lt; 18,5	Abaixo do peso</a:t>
              </a:r>
            </a:p>
            <a:p>
              <a:r>
                <a:rPr lang="pt-BR"/>
                <a:t>18,5 – 24,9	Normal</a:t>
              </a:r>
            </a:p>
            <a:p>
              <a:r>
                <a:rPr lang="pt-BR"/>
                <a:t>25 – 29,9	Sobrepeso</a:t>
              </a:r>
            </a:p>
            <a:p>
              <a:r>
                <a:rPr lang="pt-BR"/>
                <a:t>≥ 30	Obesidade</a:t>
              </a:r>
            </a:p>
            <a:p>
              <a:endParaRPr lang="pt-BR"/>
            </a:p>
            <a:p>
              <a:endParaRPr lang="pt-BR"/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67DF9878-69DD-4D8F-80EC-E27BB4F71648}"/>
                </a:ext>
              </a:extLst>
            </xdr:cNvPr>
            <xdr:cNvSpPr txBox="1"/>
          </xdr:nvSpPr>
          <xdr:spPr>
            <a:xfrm>
              <a:off x="114300" y="9526"/>
              <a:ext cx="6410325" cy="9124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b="1"/>
                <a:t>📊 Atividade de Excel – Cálculo de IMC </a:t>
              </a:r>
            </a:p>
            <a:p>
              <a:r>
                <a:rPr lang="pt-BR" b="1"/>
                <a:t>🎯 1. Contextualização da atividade (objetivo)</a:t>
              </a:r>
            </a:p>
            <a:p>
              <a:r>
                <a:rPr lang="pt-BR"/>
                <a:t>O objetivo desta atividade é ensinar:</a:t>
              </a:r>
            </a:p>
            <a:p>
              <a:r>
                <a:rPr lang="pt-BR"/>
                <a:t>- O entender o uso do Excel como ferramenta de cálculo </a:t>
              </a:r>
            </a:p>
            <a:p>
              <a:r>
                <a:rPr lang="pt-BR"/>
                <a:t>- Trabalhar com dados numéricos (peso e altura) </a:t>
              </a:r>
            </a:p>
            <a:p>
              <a:r>
                <a:rPr lang="pt-BR"/>
                <a:t>- Aplicar o uso de uma fórmula simples </a:t>
              </a:r>
            </a:p>
            <a:p>
              <a:r>
                <a:rPr lang="pt-BR"/>
                <a:t>- Interpretar o resultado obtido </a:t>
              </a:r>
            </a:p>
            <a:p>
              <a:r>
                <a:rPr lang="pt-BR"/>
                <a:t>Além disso, a atividade busca desenvolver o </a:t>
              </a:r>
              <a:r>
                <a:rPr lang="pt-BR" b="1"/>
                <a:t>raciocínio lógico</a:t>
              </a:r>
              <a:r>
                <a:rPr lang="pt-BR" b="0" baseline="0"/>
                <a:t> com o grupo. Agora o importante é entender o porquê de cada passo.</a:t>
              </a:r>
            </a:p>
            <a:p>
              <a:endParaRPr lang="pt-BR" b="0" baseline="0"/>
            </a:p>
            <a:p>
              <a:r>
                <a:rPr lang="pt-BR" b="1"/>
                <a:t>🧠 2. Fase inicial (ANTES de abrir o Excel)</a:t>
              </a:r>
            </a:p>
            <a:p>
              <a:r>
                <a:rPr lang="pt-BR"/>
                <a:t>Antes de darmos início</a:t>
              </a:r>
              <a:r>
                <a:rPr lang="pt-BR" baseline="0"/>
                <a:t> a </a:t>
              </a:r>
              <a:r>
                <a:rPr lang="pt-BR"/>
                <a:t>digitação</a:t>
              </a:r>
              <a:r>
                <a:rPr lang="pt-BR" baseline="0"/>
                <a:t> da planilha vamos analisar os seguintes pontos:</a:t>
              </a:r>
              <a:endParaRPr lang="pt-BR"/>
            </a:p>
            <a:p>
              <a:r>
                <a:rPr lang="pt-BR" b="1"/>
                <a:t>🔍 O que</a:t>
              </a:r>
              <a:r>
                <a:rPr lang="pt-BR" b="1" baseline="0"/>
                <a:t> devo ter para calcular</a:t>
              </a:r>
              <a:r>
                <a:rPr lang="pt-BR" b="1"/>
                <a:t>?</a:t>
              </a:r>
            </a:p>
            <a:p>
              <a:r>
                <a:rPr lang="pt-BR"/>
                <a:t>-</a:t>
              </a:r>
              <a:r>
                <a:rPr lang="pt-BR" baseline="0"/>
                <a:t> </a:t>
              </a:r>
              <a:r>
                <a:rPr lang="pt-BR"/>
                <a:t>Peso (em kg) </a:t>
              </a:r>
            </a:p>
            <a:p>
              <a:r>
                <a:rPr lang="pt-BR"/>
                <a:t>- Altura (em metros) </a:t>
              </a:r>
            </a:p>
            <a:p>
              <a:endParaRPr lang="pt-BR" b="1"/>
            </a:p>
            <a:p>
              <a:r>
                <a:rPr lang="pt-BR" b="1"/>
                <a:t>🔍 O que eu quero descobrir?</a:t>
              </a:r>
            </a:p>
            <a:p>
              <a:r>
                <a:rPr lang="pt-BR"/>
                <a:t>O IMC (Índice de Massa Corporal)</a:t>
              </a:r>
            </a:p>
            <a:p>
              <a:r>
                <a:rPr lang="pt-BR"/>
                <a:t> </a:t>
              </a:r>
            </a:p>
            <a:p>
              <a:r>
                <a:rPr lang="pt-BR" b="1"/>
                <a:t>🔍 Qual é a lógica a ser empregada</a:t>
              </a:r>
              <a:r>
                <a:rPr lang="pt-BR" b="1" baseline="0"/>
                <a:t> no calculo</a:t>
              </a:r>
              <a:r>
                <a:rPr lang="pt-BR" b="1"/>
                <a:t>?</a:t>
              </a:r>
            </a:p>
            <a:p>
              <a:r>
                <a:rPr lang="pt-BR"/>
                <a:t>- Existe uma fórmula matemática</a:t>
              </a:r>
              <a:r>
                <a:rPr lang="pt-BR" baseline="0"/>
                <a:t> para calcular o IMC que é a base do conceito central</a:t>
              </a:r>
              <a:r>
                <a:rPr lang="pt-BR"/>
                <a:t>:</a:t>
              </a:r>
            </a:p>
            <a:p>
              <a:endParaRPr lang="pt-BR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pt-BR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𝐼𝑀𝐶=</a:t>
              </a:r>
              <a:r>
                <a:rPr lang="ar-A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𝑝𝑒𝑠𝑜/(𝑎𝑙𝑡𝑢𝑟𝑎^2 )</a:t>
              </a:r>
              <a:endParaRPr lang="pt-BR"/>
            </a:p>
            <a:p>
              <a:endParaRPr lang="pt-BR"/>
            </a:p>
            <a:p>
              <a:r>
                <a:rPr lang="pt-BR"/>
                <a:t>Simplificando</a:t>
              </a:r>
              <a:r>
                <a:rPr lang="pt-BR" baseline="0"/>
                <a:t> a fórmula é m</a:t>
              </a:r>
              <a:r>
                <a:rPr lang="pt-BR"/>
                <a:t>ultiplicar altura por ela mesma e depois dividir o peso por esse valor </a:t>
              </a:r>
            </a:p>
            <a:p>
              <a:endParaRPr lang="pt-BR" b="1"/>
            </a:p>
            <a:p>
              <a:r>
                <a:rPr lang="pt-BR" b="1"/>
                <a:t>💡 Pensamente</a:t>
              </a:r>
              <a:r>
                <a:rPr lang="pt-BR" b="1" baseline="0"/>
                <a:t> Importante</a:t>
              </a:r>
              <a:endParaRPr lang="pt-BR" b="1"/>
            </a:p>
            <a:p>
              <a:r>
                <a:rPr lang="pt-BR"/>
                <a:t>O Excel </a:t>
              </a:r>
              <a:r>
                <a:rPr lang="pt-BR" b="1"/>
                <a:t>não pensa por você</a:t>
              </a:r>
              <a:r>
                <a:rPr lang="pt-BR"/>
                <a:t> — ele só executa exatamente o que você manda. Se você não entende a lógica, vai travar mesmo.</a:t>
              </a:r>
            </a:p>
            <a:p>
              <a:endParaRPr lang="pt-BR"/>
            </a:p>
            <a:p>
              <a:r>
                <a:rPr lang="pt-BR"/>
                <a:t>💻 </a:t>
              </a:r>
              <a:r>
                <a:rPr lang="pt-BR" b="1"/>
                <a:t>3. Estruturação da planilha</a:t>
              </a:r>
            </a:p>
            <a:p>
              <a:r>
                <a:rPr lang="pt-BR" sz="1100"/>
                <a:t>Vamos</a:t>
              </a:r>
              <a:r>
                <a:rPr lang="pt-BR" sz="1100" baseline="0"/>
                <a:t> organizar a lista de campos que farão parte de nossa planilha. </a:t>
              </a:r>
            </a:p>
            <a:p>
              <a:r>
                <a:rPr lang="pt-BR" sz="1100" baseline="0"/>
                <a:t>Lembre-se de que: </a:t>
              </a:r>
              <a:r>
                <a:rPr lang="pt-BR"/>
                <a:t>Cada coluna tem um tipo de informação e cada linha representa uma pessoa</a:t>
              </a:r>
              <a:endParaRPr lang="pt-BR" sz="1100"/>
            </a:p>
            <a:p>
              <a:endParaRPr lang="pt-BR" sz="1100"/>
            </a:p>
            <a:p>
              <a:r>
                <a:rPr lang="pt-BR"/>
                <a:t>🧮 </a:t>
              </a:r>
              <a:r>
                <a:rPr lang="pt-BR" b="1"/>
                <a:t>4. Cálculos no Excel</a:t>
              </a:r>
            </a:p>
            <a:p>
              <a:r>
                <a:rPr lang="pt-BR"/>
                <a:t>Vamos supor que o valor do peso foi</a:t>
              </a:r>
              <a:r>
                <a:rPr lang="pt-BR" baseline="0"/>
                <a:t> digitado na</a:t>
              </a:r>
              <a:r>
                <a:rPr lang="pt-BR"/>
                <a:t> célula </a:t>
              </a:r>
              <a:r>
                <a:rPr lang="pt-BR" b="1"/>
                <a:t>B2</a:t>
              </a:r>
              <a:r>
                <a:rPr lang="pt-BR"/>
                <a:t> e o valor da altura na C2 podemos elaborar a fórmula de dois</a:t>
              </a:r>
              <a:r>
                <a:rPr lang="pt-BR" baseline="0"/>
                <a:t> modos:</a:t>
              </a:r>
            </a:p>
            <a:p>
              <a:r>
                <a:rPr lang="pt-BR"/>
                <a:t>=B2/(C2*C2)</a:t>
              </a:r>
              <a:endParaRPr lang="pt-BR" sz="1100" baseline="0"/>
            </a:p>
            <a:p>
              <a:r>
                <a:rPr lang="pt-BR" sz="1100" baseline="0"/>
                <a:t>ou</a:t>
              </a:r>
            </a:p>
            <a:p>
              <a:r>
                <a:rPr lang="pt-BR"/>
                <a:t>=B2/(C2^2)</a:t>
              </a:r>
            </a:p>
            <a:p>
              <a:endParaRPr lang="pt-BR"/>
            </a:p>
            <a:p>
              <a:endParaRPr lang="pt-BR"/>
            </a:p>
            <a:p>
              <a:r>
                <a:rPr lang="pt-BR" b="1"/>
                <a:t>🧾 5. Interpretação </a:t>
              </a:r>
            </a:p>
            <a:p>
              <a:r>
                <a:rPr lang="pt-BR"/>
                <a:t>Depois do obtermos o resultado do cálculo do IMC, devemos entender o resultado</a:t>
              </a:r>
              <a:r>
                <a:rPr lang="pt-BR" baseline="0"/>
                <a:t> classificando essa resporta conforme a tabela abaixo:</a:t>
              </a:r>
            </a:p>
            <a:p>
              <a:endParaRPr lang="pt-BR"/>
            </a:p>
            <a:p>
              <a:r>
                <a:rPr lang="pt-BR"/>
                <a:t>Valor IMC	Classificação</a:t>
              </a:r>
            </a:p>
            <a:p>
              <a:r>
                <a:rPr lang="pt-BR"/>
                <a:t>&lt; 18,5	Abaixo do peso</a:t>
              </a:r>
            </a:p>
            <a:p>
              <a:r>
                <a:rPr lang="pt-BR"/>
                <a:t>18,5 – 24,9	Normal</a:t>
              </a:r>
            </a:p>
            <a:p>
              <a:r>
                <a:rPr lang="pt-BR"/>
                <a:t>25 – 29,9	Sobrepeso</a:t>
              </a:r>
            </a:p>
            <a:p>
              <a:r>
                <a:rPr lang="pt-BR"/>
                <a:t>≥ 30	Obesidade</a:t>
              </a:r>
            </a:p>
            <a:p>
              <a:endParaRPr lang="pt-BR"/>
            </a:p>
            <a:p>
              <a:endParaRPr lang="pt-BR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1335902</xdr:colOff>
      <xdr:row>4</xdr:row>
      <xdr:rowOff>106780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84C9D22-97EE-454A-9238-3DFDE4C1D06D}"/>
            </a:ext>
          </a:extLst>
        </xdr:cNvPr>
        <xdr:cNvGrpSpPr/>
      </xdr:nvGrpSpPr>
      <xdr:grpSpPr>
        <a:xfrm>
          <a:off x="0" y="0"/>
          <a:ext cx="12384902" cy="868780"/>
          <a:chOff x="66675" y="3429000"/>
          <a:chExt cx="12384902" cy="86878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48BEA24C-ABEF-0571-152F-38814B7F70A2}"/>
              </a:ext>
            </a:extLst>
          </xdr:cNvPr>
          <xdr:cNvGrpSpPr/>
        </xdr:nvGrpSpPr>
        <xdr:grpSpPr>
          <a:xfrm>
            <a:off x="66675" y="3429000"/>
            <a:ext cx="12384902" cy="868780"/>
            <a:chOff x="0" y="0"/>
            <a:chExt cx="12384902" cy="868780"/>
          </a:xfrm>
        </xdr:grpSpPr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61F7D68F-B935-9E66-02CB-1A4A0C15ED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12384902" cy="8687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" name="Etapa" descr="Funções MÍNIMO e MÁXIMO &#10;">
              <a:extLst>
                <a:ext uri="{FF2B5EF4-FFF2-40B4-BE49-F238E27FC236}">
                  <a16:creationId xmlns:a16="http://schemas.microsoft.com/office/drawing/2014/main" id="{3BE251D2-7FEC-2B22-4DF8-414500BF2381}"/>
                </a:ext>
              </a:extLst>
            </xdr:cNvPr>
            <xdr:cNvSpPr txBox="1"/>
          </xdr:nvSpPr>
          <xdr:spPr>
            <a:xfrm>
              <a:off x="905052" y="122762"/>
              <a:ext cx="10629723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Categoria Data e Hora: Funções AGORA e HOJE  e DIAS360</a:t>
              </a:r>
            </a:p>
          </xdr:txBody>
        </xdr:sp>
      </xdr:grp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FDE4B27A-D856-D6D6-6216-1F305F0E75C0}"/>
              </a:ext>
            </a:extLst>
          </xdr:cNvPr>
          <xdr:cNvSpPr/>
        </xdr:nvSpPr>
        <xdr:spPr>
          <a:xfrm>
            <a:off x="11620500" y="3514725"/>
            <a:ext cx="726167" cy="705849"/>
          </a:xfrm>
          <a:prstGeom prst="ellipse">
            <a:avLst/>
          </a:prstGeom>
          <a:blipFill dpi="0"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54</xdr:row>
      <xdr:rowOff>152400</xdr:rowOff>
    </xdr:from>
    <xdr:to>
      <xdr:col>9</xdr:col>
      <xdr:colOff>1819275</xdr:colOff>
      <xdr:row>56</xdr:row>
      <xdr:rowOff>103654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4F5BD3B-66C0-4611-A19D-AD514F756A7E}"/>
            </a:ext>
          </a:extLst>
        </xdr:cNvPr>
        <xdr:cNvSpPr txBox="1"/>
      </xdr:nvSpPr>
      <xdr:spPr>
        <a:xfrm>
          <a:off x="533400" y="10353675"/>
          <a:ext cx="11639550" cy="3132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0" eaLnBrk="1" fontAlgn="auto" latinLnBrk="0" hangingPunct="1"/>
          <a:r>
            <a:rPr lang="pt-BR" sz="1300" b="1" i="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Função CONT.VALORES, Função CONT.NÚM, Função CONTAR.VAZIO</a:t>
          </a:r>
          <a:endParaRPr lang="pt-BR" sz="1300" b="1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9</xdr:col>
      <xdr:colOff>2219685</xdr:colOff>
      <xdr:row>4</xdr:row>
      <xdr:rowOff>188119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2EBA7EA-4E72-45FE-8D04-CA97BE77951D}"/>
            </a:ext>
          </a:extLst>
        </xdr:cNvPr>
        <xdr:cNvGrpSpPr/>
      </xdr:nvGrpSpPr>
      <xdr:grpSpPr>
        <a:xfrm>
          <a:off x="0" y="0"/>
          <a:ext cx="12573360" cy="959644"/>
          <a:chOff x="0" y="0"/>
          <a:chExt cx="12555991" cy="959644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1B3A7ADE-A0CA-498C-659A-32C30E593F45}"/>
              </a:ext>
            </a:extLst>
          </xdr:cNvPr>
          <xdr:cNvGrpSpPr/>
        </xdr:nvGrpSpPr>
        <xdr:grpSpPr>
          <a:xfrm>
            <a:off x="0" y="0"/>
            <a:ext cx="12555991" cy="959644"/>
            <a:chOff x="0" y="9525"/>
            <a:chExt cx="12555991" cy="959644"/>
          </a:xfrm>
        </xdr:grpSpPr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455B1EFE-07C8-75E5-4872-D4B43018592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9525"/>
              <a:ext cx="12555991" cy="95964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9" name="Etapa" descr="Funções MÍNIMO e MÁXIMO &#10;">
              <a:extLst>
                <a:ext uri="{FF2B5EF4-FFF2-40B4-BE49-F238E27FC236}">
                  <a16:creationId xmlns:a16="http://schemas.microsoft.com/office/drawing/2014/main" id="{30E35367-0323-4F1D-957F-08DDAB7D7156}"/>
                </a:ext>
              </a:extLst>
            </xdr:cNvPr>
            <xdr:cNvSpPr txBox="1"/>
          </xdr:nvSpPr>
          <xdr:spPr>
            <a:xfrm>
              <a:off x="1028700" y="198962"/>
              <a:ext cx="10629723" cy="5897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1" i="0" u="none" strike="noStrike" kern="1200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Categoria Estatística: MÉDIA, MÁXIMO, MÍNIMO, MAIOR, MENOR, CONT.VALORES, CONT.NUM e CONTAR.VAZIO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3C6961A2-97D8-7390-86EE-0508C935397D}"/>
                </a:ext>
              </a:extLst>
            </xdr:cNvPr>
            <xdr:cNvSpPr/>
          </xdr:nvSpPr>
          <xdr:spPr>
            <a:xfrm>
              <a:off x="11677473" y="161925"/>
              <a:ext cx="726167" cy="705849"/>
            </a:xfrm>
            <a:prstGeom prst="ellipse">
              <a:avLst/>
            </a:prstGeom>
            <a:blipFill dpi="0"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F7D55106-0D7C-D7DD-90D8-6C2DC67CFEC0}"/>
              </a:ext>
            </a:extLst>
          </xdr:cNvPr>
          <xdr:cNvGrpSpPr/>
        </xdr:nvGrpSpPr>
        <xdr:grpSpPr>
          <a:xfrm>
            <a:off x="11668125" y="171450"/>
            <a:ext cx="723900" cy="678635"/>
            <a:chOff x="10172700" y="2476500"/>
            <a:chExt cx="723900" cy="678635"/>
          </a:xfrm>
        </xdr:grpSpPr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58EBB815-FDD7-F475-4B43-9C9C1A13BA82}"/>
                </a:ext>
              </a:extLst>
            </xdr:cNvPr>
            <xdr:cNvSpPr/>
          </xdr:nvSpPr>
          <xdr:spPr>
            <a:xfrm>
              <a:off x="10172700" y="2476500"/>
              <a:ext cx="723900" cy="678635"/>
            </a:xfrm>
            <a:prstGeom prst="ellipse">
              <a:avLst/>
            </a:prstGeom>
            <a:solidFill>
              <a:srgbClr val="EFF6EA"/>
            </a:solidFill>
            <a:ln w="19050"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pt-BR" sz="11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22346488-8846-405B-3DB4-5EFBC4E5AB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334764" y="2607853"/>
              <a:ext cx="438709" cy="44149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9524</xdr:colOff>
      <xdr:row>76</xdr:row>
      <xdr:rowOff>133350</xdr:rowOff>
    </xdr:from>
    <xdr:to>
      <xdr:col>8</xdr:col>
      <xdr:colOff>9524</xdr:colOff>
      <xdr:row>78</xdr:row>
      <xdr:rowOff>84604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CE447E0-C94E-6E16-19D8-1B5C5327923A}"/>
            </a:ext>
          </a:extLst>
        </xdr:cNvPr>
        <xdr:cNvSpPr txBox="1"/>
      </xdr:nvSpPr>
      <xdr:spPr>
        <a:xfrm>
          <a:off x="533399" y="14458950"/>
          <a:ext cx="8524875" cy="3132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0" eaLnBrk="1" fontAlgn="auto" latinLnBrk="0" hangingPunct="1"/>
          <a:r>
            <a:rPr lang="pt-BR" sz="1300" b="1" i="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Funções CONT.SE, SOMASE e MEDIASE</a:t>
          </a:r>
          <a:endParaRPr lang="pt-BR" sz="1300" b="1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0</xdr:row>
      <xdr:rowOff>76200</xdr:rowOff>
    </xdr:from>
    <xdr:ext cx="5353049" cy="1908471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53C4B0A-7E94-E00B-7DEB-2E762AB8E4D2}"/>
            </a:ext>
          </a:extLst>
        </xdr:cNvPr>
        <xdr:cNvSpPr txBox="1"/>
      </xdr:nvSpPr>
      <xdr:spPr>
        <a:xfrm>
          <a:off x="7943850" y="76200"/>
          <a:ext cx="5353049" cy="1908471"/>
        </a:xfrm>
        <a:prstGeom prst="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/>
            <a:t>Regras de Cálculo</a:t>
          </a:r>
        </a:p>
        <a:p>
          <a:endParaRPr lang="pt-BR" sz="1400" b="1"/>
        </a:p>
        <a:p>
          <a:r>
            <a:rPr lang="pt-BR" sz="1100"/>
            <a:t>1) Para calcular a quantidade de Dias em Atraso devemos encontrar</a:t>
          </a:r>
          <a:r>
            <a:rPr lang="pt-BR" sz="1100" baseline="0"/>
            <a:t> qual a quantidade de dias é obtida subtraindo a data atual com a data de pagamento.</a:t>
          </a:r>
        </a:p>
        <a:p>
          <a:r>
            <a:rPr lang="pt-BR" sz="1100" baseline="0"/>
            <a:t>	Data Atual - Data de Pagamento</a:t>
          </a:r>
        </a:p>
        <a:p>
          <a:endParaRPr lang="pt-BR" sz="1100" baseline="0"/>
        </a:p>
        <a:p>
          <a:r>
            <a:rPr lang="pt-BR" sz="1100" baseline="0"/>
            <a:t>2) Para achar o valor a multa em atrado devemos efeturar o seguinte cálculo:</a:t>
          </a:r>
          <a:br>
            <a:rPr lang="pt-BR" sz="1100" baseline="0"/>
          </a:br>
          <a:r>
            <a:rPr lang="pt-BR" sz="1100" baseline="0"/>
            <a:t>	(Valor a pagar*0,2%)*Dias em Atraso</a:t>
          </a:r>
        </a:p>
        <a:p>
          <a:endParaRPr lang="pt-BR" sz="1100" baseline="0"/>
        </a:p>
        <a:p>
          <a:r>
            <a:rPr lang="pt-BR" sz="1100" baseline="0"/>
            <a:t>3) O valo a pagar é calculado somendo Valor a Pagar com o valor da Multa por atraso.</a:t>
          </a:r>
          <a:endParaRPr lang="pt-BR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190500</xdr:colOff>
      <xdr:row>1</xdr:row>
      <xdr:rowOff>0</xdr:rowOff>
    </xdr:from>
    <xdr:ext cx="2886175" cy="164237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618AD23-0AF7-DF86-5B34-F056380ACD23}"/>
            </a:ext>
          </a:extLst>
        </xdr:cNvPr>
        <xdr:cNvSpPr txBox="1"/>
      </xdr:nvSpPr>
      <xdr:spPr>
        <a:xfrm>
          <a:off x="27203400" y="190500"/>
          <a:ext cx="2886175" cy="164237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Resolva</a:t>
          </a:r>
          <a:r>
            <a:rPr lang="pt-BR" sz="1100" b="1" baseline="0"/>
            <a:t> os itens ao lado utilizando as funções:</a:t>
          </a:r>
        </a:p>
        <a:p>
          <a:r>
            <a:rPr lang="pt-BR" sz="1100" b="1" baseline="0"/>
            <a:t>CONT.VALORES</a:t>
          </a:r>
        </a:p>
        <a:p>
          <a:r>
            <a:rPr lang="pt-BR" sz="1100" b="1" baseline="0"/>
            <a:t>SOMA</a:t>
          </a:r>
        </a:p>
        <a:p>
          <a:r>
            <a:rPr lang="pt-BR" sz="1100" b="1" baseline="0"/>
            <a:t>CONT.SE</a:t>
          </a:r>
        </a:p>
        <a:p>
          <a:r>
            <a:rPr lang="pt-BR" sz="1100" b="1" baseline="0"/>
            <a:t>SOMASE</a:t>
          </a:r>
        </a:p>
        <a:p>
          <a:r>
            <a:rPr lang="pt-BR" sz="1100" b="1" baseline="0"/>
            <a:t>MÁXIMO</a:t>
          </a:r>
        </a:p>
        <a:p>
          <a:r>
            <a:rPr lang="pt-BR" sz="1100" b="1" baseline="0"/>
            <a:t>MÍNIMO</a:t>
          </a:r>
        </a:p>
        <a:p>
          <a:r>
            <a:rPr lang="pt-BR" sz="1100" b="1" baseline="0"/>
            <a:t>MAIOR</a:t>
          </a:r>
        </a:p>
        <a:p>
          <a:r>
            <a:rPr lang="pt-BR" sz="1100" b="1" baseline="0"/>
            <a:t>MENOR</a:t>
          </a:r>
          <a:endParaRPr lang="pt-BR" sz="1100" b="1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933450</xdr:colOff>
      <xdr:row>1</xdr:row>
      <xdr:rowOff>122704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F1880E7-69E4-4542-B9BF-2E454410C640}"/>
            </a:ext>
          </a:extLst>
        </xdr:cNvPr>
        <xdr:cNvSpPr txBox="1"/>
      </xdr:nvSpPr>
      <xdr:spPr>
        <a:xfrm>
          <a:off x="0" y="0"/>
          <a:ext cx="8524875" cy="3132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0" eaLnBrk="1" fontAlgn="auto" latinLnBrk="0" hangingPunct="1"/>
          <a:r>
            <a:rPr lang="pt-BR" sz="1300" b="1" i="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Convertendo Intervalo em Tabela</a:t>
          </a:r>
          <a:endParaRPr lang="pt-BR" sz="1300" b="1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&#231;amento%20de%20comida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%20Optiplex%20755MT\Documents\Senac-Rio\Did&#225;tico\Aulas%20Excel%20Avan&#231;ado\Planilhas\ContaCorr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as Despesas"/>
      <sheetName val="Relatório"/>
    </sheetNames>
    <sheetDataSet>
      <sheetData sheetId="0"/>
      <sheetData sheetId="1">
        <row r="9">
          <cell r="B9" t="str">
            <v>Bebidas alcoólicas</v>
          </cell>
        </row>
        <row r="10">
          <cell r="B10" t="str">
            <v>Pão</v>
          </cell>
        </row>
        <row r="11">
          <cell r="B11" t="str">
            <v>Bebidas</v>
          </cell>
        </row>
        <row r="12">
          <cell r="B12" t="str">
            <v>Frutas e legumes</v>
          </cell>
        </row>
        <row r="13">
          <cell r="B13" t="str">
            <v>Carne</v>
          </cell>
        </row>
        <row r="14">
          <cell r="B14" t="str">
            <v>Refeições prontas</v>
          </cell>
        </row>
        <row r="15">
          <cell r="B15" t="str">
            <v>Doces</v>
          </cell>
        </row>
        <row r="16">
          <cell r="B16" t="str">
            <v>Outros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Configuração"/>
      <sheetName val="Plan1"/>
    </sheetNames>
    <sheetDataSet>
      <sheetData sheetId="0">
        <row r="10">
          <cell r="D10">
            <v>1900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D</v>
          </cell>
          <cell r="B2" t="str">
            <v>Depósito</v>
          </cell>
        </row>
        <row r="3">
          <cell r="A3" t="str">
            <v>C</v>
          </cell>
          <cell r="B3" t="str">
            <v>Transferência</v>
          </cell>
        </row>
        <row r="4">
          <cell r="B4" t="str">
            <v>Cheque</v>
          </cell>
        </row>
        <row r="5">
          <cell r="B5" t="str">
            <v>Outras</v>
          </cell>
        </row>
        <row r="6">
          <cell r="B6" t="str">
            <v>Pagamentos</v>
          </cell>
        </row>
      </sheetData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0A68-3CCF-47C5-94A8-B04341DAD5FD}">
  <sheetPr>
    <pageSetUpPr fitToPage="1"/>
  </sheetPr>
  <dimension ref="A1"/>
  <sheetViews>
    <sheetView showGridLines="0" workbookViewId="0">
      <selection activeCell="AD25" sqref="AD25"/>
    </sheetView>
  </sheetViews>
  <sheetFormatPr defaultRowHeight="14.25" x14ac:dyDescent="0.2"/>
  <cols>
    <col min="1" max="10" width="9.140625" style="3"/>
    <col min="11" max="11" width="10.28515625" style="3" customWidth="1"/>
    <col min="12" max="16384" width="9.140625" style="3"/>
  </cols>
  <sheetData/>
  <pageMargins left="0.511811024" right="0.511811024" top="0.78740157499999996" bottom="0.78740157499999996" header="0.31496062000000002" footer="0.31496062000000002"/>
  <pageSetup paperSize="9" scale="76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8410-D953-475F-8757-8FE7FDE2A587}">
  <dimension ref="A1"/>
  <sheetViews>
    <sheetView showGridLines="0" tabSelected="1" topLeftCell="A34" workbookViewId="0">
      <selection activeCell="Y47" sqref="Y47"/>
    </sheetView>
  </sheetViews>
  <sheetFormatPr defaultRowHeight="14.25" x14ac:dyDescent="0.2"/>
  <cols>
    <col min="1" max="16384" width="9.140625" style="3"/>
  </cols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0E18-D755-4205-A20A-79A88DF7DA4D}">
  <sheetPr>
    <pageSetUpPr fitToPage="1"/>
  </sheetPr>
  <dimension ref="B3:T43"/>
  <sheetViews>
    <sheetView showGridLines="0" workbookViewId="0">
      <selection activeCell="K35" sqref="K35"/>
    </sheetView>
  </sheetViews>
  <sheetFormatPr defaultRowHeight="15" x14ac:dyDescent="0.25"/>
  <cols>
    <col min="1" max="1" width="7.85546875" style="5" bestFit="1" customWidth="1"/>
    <col min="2" max="2" width="25.28515625" style="5" bestFit="1" customWidth="1"/>
    <col min="3" max="3" width="12.140625" style="5" bestFit="1" customWidth="1"/>
    <col min="4" max="4" width="14.5703125" style="5" bestFit="1" customWidth="1"/>
    <col min="5" max="5" width="14.5703125" style="5" customWidth="1"/>
    <col min="6" max="6" width="14.85546875" style="5" bestFit="1" customWidth="1"/>
    <col min="7" max="7" width="15" style="5" bestFit="1" customWidth="1"/>
    <col min="8" max="8" width="19.140625" style="5" bestFit="1" customWidth="1"/>
    <col min="9" max="9" width="14.28515625" style="5" bestFit="1" customWidth="1"/>
    <col min="10" max="10" width="28" style="5" bestFit="1" customWidth="1"/>
    <col min="11" max="11" width="33.5703125" style="5" bestFit="1" customWidth="1"/>
    <col min="12" max="12" width="22.42578125" style="5" bestFit="1" customWidth="1"/>
    <col min="13" max="13" width="18.28515625" style="5" bestFit="1" customWidth="1"/>
    <col min="14" max="14" width="27.28515625" style="5" bestFit="1" customWidth="1"/>
    <col min="15" max="15" width="13.140625" style="5" bestFit="1" customWidth="1"/>
    <col min="16" max="16" width="10.85546875" style="5" bestFit="1" customWidth="1"/>
    <col min="17" max="17" width="15" style="5" bestFit="1" customWidth="1"/>
    <col min="18" max="18" width="13.140625" style="5" bestFit="1" customWidth="1"/>
    <col min="19" max="19" width="26" style="5" bestFit="1" customWidth="1"/>
    <col min="20" max="20" width="10.85546875" style="5" bestFit="1" customWidth="1"/>
    <col min="21" max="21" width="5.85546875" style="5" bestFit="1" customWidth="1"/>
    <col min="22" max="22" width="19.140625" style="5" bestFit="1" customWidth="1"/>
    <col min="23" max="23" width="14.140625" style="5" bestFit="1" customWidth="1"/>
    <col min="24" max="16384" width="9.140625" style="5"/>
  </cols>
  <sheetData>
    <row r="3" spans="2:20" x14ac:dyDescent="0.25">
      <c r="T3" s="11"/>
    </row>
    <row r="7" spans="2:20" x14ac:dyDescent="0.25">
      <c r="F7" s="12" t="s">
        <v>168</v>
      </c>
      <c r="N7" s="3"/>
      <c r="O7" s="3"/>
    </row>
    <row r="8" spans="2:20" x14ac:dyDescent="0.25">
      <c r="B8" s="13"/>
      <c r="D8" s="3"/>
      <c r="E8" s="3"/>
      <c r="H8" s="3"/>
      <c r="N8" s="3"/>
      <c r="O8" s="3"/>
    </row>
    <row r="9" spans="2:20" x14ac:dyDescent="0.25">
      <c r="B9" s="74" t="s">
        <v>169</v>
      </c>
      <c r="C9" s="75"/>
      <c r="D9" s="3"/>
      <c r="E9" s="3"/>
      <c r="F9" s="14" t="s">
        <v>170</v>
      </c>
      <c r="G9" s="15" t="s">
        <v>171</v>
      </c>
      <c r="H9" s="15" t="s">
        <v>172</v>
      </c>
      <c r="I9" s="15" t="s">
        <v>173</v>
      </c>
      <c r="J9" s="15" t="s">
        <v>174</v>
      </c>
      <c r="K9" s="15" t="s">
        <v>175</v>
      </c>
      <c r="L9" s="16" t="s">
        <v>263</v>
      </c>
      <c r="M9" s="3"/>
      <c r="N9" s="3"/>
      <c r="O9" s="3"/>
    </row>
    <row r="10" spans="2:20" x14ac:dyDescent="0.25">
      <c r="B10" s="17" t="s">
        <v>176</v>
      </c>
      <c r="C10" s="6"/>
      <c r="D10" s="3"/>
      <c r="E10" s="3"/>
      <c r="F10" s="6" t="s">
        <v>177</v>
      </c>
      <c r="G10" s="60" t="s">
        <v>74</v>
      </c>
      <c r="H10" s="61">
        <v>0.37777777777777777</v>
      </c>
      <c r="I10" s="61">
        <v>0.51597222222222217</v>
      </c>
      <c r="J10" s="61">
        <v>0.55486111111111114</v>
      </c>
      <c r="K10" s="61">
        <v>0.73888888888888893</v>
      </c>
      <c r="L10" s="6"/>
      <c r="M10" s="3"/>
      <c r="N10" s="3"/>
      <c r="O10" s="3"/>
    </row>
    <row r="11" spans="2:20" x14ac:dyDescent="0.25">
      <c r="B11" s="6" t="s">
        <v>178</v>
      </c>
      <c r="C11" s="6"/>
      <c r="D11" s="3"/>
      <c r="E11" s="3"/>
      <c r="F11" s="6" t="s">
        <v>179</v>
      </c>
      <c r="G11" s="60" t="s">
        <v>75</v>
      </c>
      <c r="H11" s="61">
        <v>0.40833333333333338</v>
      </c>
      <c r="I11" s="61">
        <v>0.51736111111111105</v>
      </c>
      <c r="J11" s="61">
        <v>0.55902777777777779</v>
      </c>
      <c r="K11" s="61">
        <v>0.76250000000000007</v>
      </c>
      <c r="L11" s="6"/>
      <c r="M11" s="3"/>
      <c r="N11" s="3"/>
      <c r="O11" s="3"/>
    </row>
    <row r="12" spans="2:20" x14ac:dyDescent="0.25">
      <c r="B12" s="4"/>
      <c r="C12" s="4"/>
      <c r="D12" s="3"/>
      <c r="E12" s="3"/>
      <c r="F12" s="6" t="s">
        <v>180</v>
      </c>
      <c r="G12" s="60" t="s">
        <v>76</v>
      </c>
      <c r="H12" s="61">
        <v>0.39513888888888887</v>
      </c>
      <c r="I12" s="61">
        <v>0.50347222222222221</v>
      </c>
      <c r="J12" s="61">
        <v>0.55763888888888891</v>
      </c>
      <c r="K12" s="61">
        <v>0.7368055555555556</v>
      </c>
      <c r="L12" s="6"/>
      <c r="M12" s="3"/>
      <c r="N12" s="3"/>
      <c r="O12" s="3"/>
    </row>
    <row r="13" spans="2:20" x14ac:dyDescent="0.25"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20" x14ac:dyDescent="0.25"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20" x14ac:dyDescent="0.25">
      <c r="B15" s="4"/>
      <c r="C15" s="4"/>
      <c r="D15" s="3"/>
      <c r="E15" s="3"/>
      <c r="F15" s="12" t="s">
        <v>181</v>
      </c>
      <c r="N15" s="3"/>
      <c r="O15" s="3"/>
    </row>
    <row r="16" spans="2:20" x14ac:dyDescent="0.25">
      <c r="B16" s="4"/>
      <c r="C16" s="4"/>
      <c r="D16" s="3"/>
      <c r="E16" s="3"/>
      <c r="H16" s="3"/>
      <c r="N16" s="3"/>
      <c r="O16" s="3"/>
    </row>
    <row r="17" spans="2:15" x14ac:dyDescent="0.25">
      <c r="B17" s="4"/>
      <c r="C17" s="4"/>
      <c r="D17" s="3"/>
      <c r="E17" s="3"/>
      <c r="F17" s="14" t="s">
        <v>170</v>
      </c>
      <c r="G17" s="15" t="s">
        <v>171</v>
      </c>
      <c r="H17" s="15" t="s">
        <v>182</v>
      </c>
      <c r="I17" s="15" t="s">
        <v>183</v>
      </c>
      <c r="J17" s="15" t="s">
        <v>184</v>
      </c>
      <c r="K17" s="15" t="s">
        <v>185</v>
      </c>
      <c r="L17" s="16" t="s">
        <v>186</v>
      </c>
      <c r="M17" s="3"/>
      <c r="N17" s="3"/>
      <c r="O17" s="3"/>
    </row>
    <row r="18" spans="2:15" x14ac:dyDescent="0.25">
      <c r="B18" s="4"/>
      <c r="C18" s="4"/>
      <c r="D18" s="3"/>
      <c r="E18" s="3"/>
      <c r="F18" s="6" t="s">
        <v>177</v>
      </c>
      <c r="G18" s="60" t="s">
        <v>74</v>
      </c>
      <c r="H18" s="18">
        <v>45302</v>
      </c>
      <c r="I18" s="18">
        <v>45337</v>
      </c>
      <c r="J18" s="18">
        <v>45347</v>
      </c>
      <c r="K18" s="18">
        <v>45396</v>
      </c>
      <c r="L18" s="6"/>
      <c r="M18" s="3"/>
      <c r="N18" s="3"/>
      <c r="O18" s="3"/>
    </row>
    <row r="19" spans="2:15" x14ac:dyDescent="0.25">
      <c r="B19" s="4"/>
      <c r="C19" s="4"/>
      <c r="D19" s="3"/>
      <c r="E19" s="3"/>
      <c r="F19" s="6" t="s">
        <v>179</v>
      </c>
      <c r="G19" s="60" t="s">
        <v>75</v>
      </c>
      <c r="H19" s="18">
        <v>45382</v>
      </c>
      <c r="I19" s="18">
        <v>45420</v>
      </c>
      <c r="J19" s="18">
        <v>45423</v>
      </c>
      <c r="K19" s="18">
        <v>45455</v>
      </c>
      <c r="L19" s="6"/>
      <c r="M19" s="3"/>
      <c r="N19" s="3"/>
      <c r="O19" s="3"/>
    </row>
    <row r="20" spans="2:15" x14ac:dyDescent="0.25">
      <c r="F20" s="6" t="s">
        <v>180</v>
      </c>
      <c r="G20" s="60" t="s">
        <v>76</v>
      </c>
      <c r="H20" s="18">
        <v>45402</v>
      </c>
      <c r="I20" s="18">
        <v>45418</v>
      </c>
      <c r="J20" s="18">
        <v>45426</v>
      </c>
      <c r="K20" s="18">
        <v>45474</v>
      </c>
      <c r="L20" s="6"/>
      <c r="M20" s="3"/>
      <c r="N20" s="3"/>
      <c r="O20" s="3"/>
    </row>
    <row r="21" spans="2:15" x14ac:dyDescent="0.25"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x14ac:dyDescent="0.25">
      <c r="B22" s="74" t="s">
        <v>187</v>
      </c>
      <c r="C22" s="75"/>
      <c r="N22" s="3"/>
      <c r="O22" s="3"/>
    </row>
    <row r="23" spans="2:15" x14ac:dyDescent="0.25">
      <c r="B23" s="17" t="s">
        <v>188</v>
      </c>
      <c r="C23" s="6"/>
      <c r="F23" s="12" t="s">
        <v>189</v>
      </c>
      <c r="G23" s="3"/>
    </row>
    <row r="24" spans="2:15" x14ac:dyDescent="0.25">
      <c r="B24" s="6" t="s">
        <v>190</v>
      </c>
      <c r="C24" s="6"/>
      <c r="F24" s="3"/>
      <c r="G24" s="3"/>
    </row>
    <row r="25" spans="2:15" x14ac:dyDescent="0.25">
      <c r="G25" s="6" t="s">
        <v>191</v>
      </c>
      <c r="H25" s="7"/>
    </row>
    <row r="27" spans="2:15" x14ac:dyDescent="0.25">
      <c r="F27" s="7" t="s">
        <v>192</v>
      </c>
      <c r="G27" s="7" t="s">
        <v>193</v>
      </c>
      <c r="H27" s="7" t="s">
        <v>194</v>
      </c>
    </row>
    <row r="28" spans="2:15" x14ac:dyDescent="0.25">
      <c r="F28" s="7" t="s">
        <v>195</v>
      </c>
      <c r="G28" s="19">
        <v>45568</v>
      </c>
      <c r="H28" s="7"/>
      <c r="I28" s="3"/>
    </row>
    <row r="29" spans="2:15" x14ac:dyDescent="0.25">
      <c r="F29" s="7" t="s">
        <v>196</v>
      </c>
      <c r="G29" s="19">
        <v>45589</v>
      </c>
      <c r="H29" s="7"/>
      <c r="I29" s="3"/>
    </row>
    <row r="30" spans="2:15" x14ac:dyDescent="0.25">
      <c r="F30" s="7" t="s">
        <v>197</v>
      </c>
      <c r="G30" s="19">
        <v>45554</v>
      </c>
      <c r="H30" s="7"/>
    </row>
    <row r="31" spans="2:15" x14ac:dyDescent="0.25">
      <c r="F31" s="7" t="s">
        <v>198</v>
      </c>
      <c r="G31" s="19">
        <v>45595</v>
      </c>
      <c r="H31" s="7"/>
    </row>
    <row r="32" spans="2:15" x14ac:dyDescent="0.25">
      <c r="F32" s="7" t="s">
        <v>199</v>
      </c>
      <c r="G32" s="19">
        <v>45532</v>
      </c>
      <c r="H32" s="7"/>
    </row>
    <row r="33" spans="6:11" x14ac:dyDescent="0.25">
      <c r="F33" s="7" t="s">
        <v>200</v>
      </c>
      <c r="G33" s="19">
        <v>45522</v>
      </c>
      <c r="H33" s="7"/>
    </row>
    <row r="37" spans="6:11" x14ac:dyDescent="0.25">
      <c r="F37"/>
      <c r="G37"/>
      <c r="H37"/>
      <c r="I37"/>
      <c r="J37"/>
      <c r="K37"/>
    </row>
    <row r="38" spans="6:11" x14ac:dyDescent="0.25">
      <c r="F38"/>
      <c r="G38"/>
      <c r="H38"/>
      <c r="I38"/>
      <c r="J38"/>
      <c r="K38"/>
    </row>
    <row r="39" spans="6:11" x14ac:dyDescent="0.25">
      <c r="F39"/>
      <c r="G39"/>
      <c r="H39"/>
      <c r="I39"/>
      <c r="J39"/>
      <c r="K39"/>
    </row>
    <row r="40" spans="6:11" x14ac:dyDescent="0.25">
      <c r="F40"/>
      <c r="G40"/>
      <c r="H40"/>
      <c r="I40"/>
      <c r="J40"/>
      <c r="K40"/>
    </row>
    <row r="41" spans="6:11" x14ac:dyDescent="0.25">
      <c r="F41"/>
      <c r="G41"/>
      <c r="H41"/>
      <c r="I41"/>
      <c r="J41"/>
      <c r="K41"/>
    </row>
    <row r="42" spans="6:11" x14ac:dyDescent="0.25">
      <c r="F42"/>
      <c r="G42"/>
      <c r="H42"/>
      <c r="I42"/>
      <c r="J42"/>
      <c r="K42"/>
    </row>
    <row r="43" spans="6:11" x14ac:dyDescent="0.25">
      <c r="F43"/>
      <c r="G43"/>
      <c r="H43"/>
      <c r="I43"/>
      <c r="J43"/>
      <c r="K43"/>
    </row>
  </sheetData>
  <mergeCells count="2">
    <mergeCell ref="B9:C9"/>
    <mergeCell ref="B22:C22"/>
  </mergeCells>
  <pageMargins left="0.511811024" right="0.511811024" top="0.78740157499999996" bottom="0.78740157499999996" header="0.31496062000000002" footer="0.31496062000000002"/>
  <pageSetup paperSize="9" scale="7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E8F0-5523-404D-865A-01B70AF39036}">
  <sheetPr>
    <pageSetUpPr fitToPage="1"/>
  </sheetPr>
  <dimension ref="B1:R94"/>
  <sheetViews>
    <sheetView showGridLines="0" topLeftCell="A70" zoomScaleNormal="100" workbookViewId="0">
      <selection activeCell="J102" sqref="J102"/>
    </sheetView>
  </sheetViews>
  <sheetFormatPr defaultRowHeight="14.25" x14ac:dyDescent="0.2"/>
  <cols>
    <col min="1" max="1" width="7.85546875" style="3" bestFit="1" customWidth="1"/>
    <col min="2" max="2" width="26" style="3" bestFit="1" customWidth="1"/>
    <col min="3" max="3" width="19.5703125" style="3" bestFit="1" customWidth="1"/>
    <col min="4" max="4" width="13.42578125" style="3" bestFit="1" customWidth="1"/>
    <col min="5" max="5" width="13.140625" style="3" bestFit="1" customWidth="1"/>
    <col min="6" max="6" width="13.7109375" style="3" bestFit="1" customWidth="1"/>
    <col min="7" max="7" width="15.85546875" style="3" bestFit="1" customWidth="1"/>
    <col min="8" max="8" width="26.140625" style="3" bestFit="1" customWidth="1"/>
    <col min="9" max="9" width="19.5703125" style="3" bestFit="1" customWidth="1"/>
    <col min="10" max="10" width="48.5703125" style="3" bestFit="1" customWidth="1"/>
    <col min="11" max="11" width="14.140625" style="3" bestFit="1" customWidth="1"/>
    <col min="12" max="12" width="16.140625" style="3" bestFit="1" customWidth="1"/>
    <col min="13" max="13" width="44.140625" style="3" bestFit="1" customWidth="1"/>
    <col min="14" max="14" width="16.28515625" style="3" bestFit="1" customWidth="1"/>
    <col min="15" max="15" width="5.28515625" style="3" customWidth="1"/>
    <col min="16" max="16" width="12.85546875" style="3" bestFit="1" customWidth="1"/>
    <col min="17" max="17" width="26" style="3" bestFit="1" customWidth="1"/>
    <col min="18" max="18" width="14.85546875" style="3" bestFit="1" customWidth="1"/>
    <col min="19" max="16384" width="9.140625" style="3"/>
  </cols>
  <sheetData>
    <row r="1" spans="2:18" s="5" customFormat="1" ht="15" x14ac:dyDescent="0.25"/>
    <row r="2" spans="2:18" s="5" customFormat="1" ht="15.75" x14ac:dyDescent="0.25">
      <c r="R2" s="20"/>
    </row>
    <row r="3" spans="2:18" s="5" customFormat="1" ht="15" x14ac:dyDescent="0.25"/>
    <row r="4" spans="2:18" s="5" customFormat="1" ht="15" x14ac:dyDescent="0.25"/>
    <row r="5" spans="2:18" s="5" customFormat="1" ht="15" x14ac:dyDescent="0.25"/>
    <row r="6" spans="2:18" s="5" customFormat="1" ht="15" x14ac:dyDescent="0.25"/>
    <row r="7" spans="2:18" s="5" customFormat="1" ht="15" x14ac:dyDescent="0.25"/>
    <row r="8" spans="2:18" s="5" customFormat="1" ht="15" x14ac:dyDescent="0.25"/>
    <row r="9" spans="2:18" s="5" customFormat="1" ht="15" x14ac:dyDescent="0.25"/>
    <row r="10" spans="2:18" s="5" customFormat="1" ht="15" x14ac:dyDescent="0.25">
      <c r="H10" s="21" t="s">
        <v>202</v>
      </c>
      <c r="L10" s="3"/>
      <c r="M10" s="3"/>
      <c r="N10" s="3"/>
      <c r="O10" s="3"/>
    </row>
    <row r="11" spans="2:18" s="5" customFormat="1" ht="15" x14ac:dyDescent="0.25">
      <c r="B11" s="21" t="s">
        <v>203</v>
      </c>
      <c r="H11" s="21" t="s">
        <v>77</v>
      </c>
      <c r="I11" s="21" t="s">
        <v>72</v>
      </c>
      <c r="J11" s="21" t="s">
        <v>204</v>
      </c>
      <c r="K11" s="21" t="s">
        <v>205</v>
      </c>
      <c r="N11" s="3"/>
      <c r="O11" s="3"/>
    </row>
    <row r="12" spans="2:18" s="5" customFormat="1" ht="15" x14ac:dyDescent="0.25">
      <c r="B12" s="21" t="s">
        <v>77</v>
      </c>
      <c r="C12" s="21" t="s">
        <v>72</v>
      </c>
      <c r="D12" s="21" t="s">
        <v>204</v>
      </c>
      <c r="E12" s="21" t="s">
        <v>205</v>
      </c>
      <c r="H12" s="22" t="s">
        <v>79</v>
      </c>
      <c r="I12" s="22">
        <v>439</v>
      </c>
      <c r="J12" s="23">
        <v>22.77</v>
      </c>
      <c r="K12" s="23">
        <f>I12*J12</f>
        <v>9996.0300000000007</v>
      </c>
      <c r="N12" s="3"/>
      <c r="O12" s="3"/>
    </row>
    <row r="13" spans="2:18" s="5" customFormat="1" ht="15" x14ac:dyDescent="0.25">
      <c r="B13" s="22" t="s">
        <v>79</v>
      </c>
      <c r="C13" s="22">
        <v>439</v>
      </c>
      <c r="D13" s="23">
        <v>22.77</v>
      </c>
      <c r="E13" s="23"/>
      <c r="H13" s="22" t="s">
        <v>80</v>
      </c>
      <c r="I13" s="22">
        <v>280</v>
      </c>
      <c r="J13" s="23">
        <v>98.78</v>
      </c>
      <c r="K13" s="23">
        <f>I13*J13</f>
        <v>27658.400000000001</v>
      </c>
      <c r="N13" s="3"/>
    </row>
    <row r="14" spans="2:18" s="5" customFormat="1" ht="15" x14ac:dyDescent="0.25">
      <c r="B14" s="22" t="s">
        <v>80</v>
      </c>
      <c r="C14" s="22">
        <v>280</v>
      </c>
      <c r="D14" s="23">
        <v>98.78</v>
      </c>
      <c r="E14" s="23"/>
      <c r="H14" s="22" t="s">
        <v>81</v>
      </c>
      <c r="I14" s="22">
        <v>2</v>
      </c>
      <c r="J14" s="23">
        <v>61.6</v>
      </c>
      <c r="K14" s="23">
        <f t="shared" ref="K14:K20" si="0">I14*J14</f>
        <v>123.2</v>
      </c>
      <c r="N14" s="3"/>
    </row>
    <row r="15" spans="2:18" s="5" customFormat="1" ht="15" x14ac:dyDescent="0.25">
      <c r="B15" s="22" t="s">
        <v>81</v>
      </c>
      <c r="C15" s="22">
        <v>2</v>
      </c>
      <c r="D15" s="23">
        <v>61.6</v>
      </c>
      <c r="E15" s="23"/>
      <c r="H15" s="22" t="s">
        <v>82</v>
      </c>
      <c r="I15" s="22">
        <v>162</v>
      </c>
      <c r="J15" s="23">
        <v>53.27</v>
      </c>
      <c r="K15" s="23">
        <f t="shared" si="0"/>
        <v>8629.74</v>
      </c>
      <c r="N15" s="3"/>
    </row>
    <row r="16" spans="2:18" s="5" customFormat="1" ht="15" x14ac:dyDescent="0.25">
      <c r="B16" s="22" t="s">
        <v>82</v>
      </c>
      <c r="C16" s="22">
        <v>162</v>
      </c>
      <c r="D16" s="23">
        <v>53.27</v>
      </c>
      <c r="E16" s="23"/>
      <c r="H16" s="22" t="s">
        <v>83</v>
      </c>
      <c r="I16" s="22">
        <v>54</v>
      </c>
      <c r="J16" s="23">
        <v>15.41</v>
      </c>
      <c r="K16" s="23">
        <f t="shared" si="0"/>
        <v>832.14</v>
      </c>
      <c r="N16" s="3"/>
    </row>
    <row r="17" spans="2:14" s="5" customFormat="1" ht="15" x14ac:dyDescent="0.25">
      <c r="B17" s="22" t="s">
        <v>83</v>
      </c>
      <c r="C17" s="22">
        <v>54</v>
      </c>
      <c r="D17" s="23">
        <v>15.41</v>
      </c>
      <c r="E17" s="23"/>
      <c r="H17" s="22" t="s">
        <v>84</v>
      </c>
      <c r="I17" s="22">
        <v>133</v>
      </c>
      <c r="J17" s="23">
        <v>89.11</v>
      </c>
      <c r="K17" s="23">
        <f t="shared" si="0"/>
        <v>11851.63</v>
      </c>
      <c r="N17" s="3"/>
    </row>
    <row r="18" spans="2:14" s="5" customFormat="1" ht="15" x14ac:dyDescent="0.25">
      <c r="B18" s="22" t="s">
        <v>84</v>
      </c>
      <c r="C18" s="22">
        <v>133</v>
      </c>
      <c r="D18" s="23">
        <v>89.11</v>
      </c>
      <c r="E18" s="23"/>
      <c r="H18" s="22" t="s">
        <v>85</v>
      </c>
      <c r="I18" s="22">
        <v>394</v>
      </c>
      <c r="J18" s="23">
        <v>44.19</v>
      </c>
      <c r="K18" s="23">
        <f t="shared" si="0"/>
        <v>17410.86</v>
      </c>
      <c r="N18" s="3"/>
    </row>
    <row r="19" spans="2:14" s="5" customFormat="1" ht="15" x14ac:dyDescent="0.25">
      <c r="B19" s="22" t="s">
        <v>85</v>
      </c>
      <c r="C19" s="22">
        <v>394</v>
      </c>
      <c r="D19" s="23">
        <v>44.19</v>
      </c>
      <c r="E19" s="23"/>
      <c r="H19" s="22" t="s">
        <v>86</v>
      </c>
      <c r="I19" s="22">
        <v>377</v>
      </c>
      <c r="J19" s="23">
        <v>78.680000000000007</v>
      </c>
      <c r="K19" s="23">
        <f t="shared" si="0"/>
        <v>29662.360000000004</v>
      </c>
      <c r="N19" s="3"/>
    </row>
    <row r="20" spans="2:14" s="5" customFormat="1" ht="15" x14ac:dyDescent="0.25">
      <c r="B20" s="22" t="s">
        <v>86</v>
      </c>
      <c r="C20" s="22">
        <v>377</v>
      </c>
      <c r="D20" s="23">
        <v>78.680000000000007</v>
      </c>
      <c r="E20" s="23"/>
      <c r="H20" s="22" t="s">
        <v>87</v>
      </c>
      <c r="I20" s="22">
        <v>490</v>
      </c>
      <c r="J20" s="23">
        <v>9.49</v>
      </c>
      <c r="K20" s="23">
        <f t="shared" si="0"/>
        <v>4650.1000000000004</v>
      </c>
      <c r="N20" s="3"/>
    </row>
    <row r="21" spans="2:14" s="5" customFormat="1" ht="15" x14ac:dyDescent="0.25">
      <c r="B21" s="22" t="s">
        <v>87</v>
      </c>
      <c r="C21" s="22">
        <v>490</v>
      </c>
      <c r="D21" s="23">
        <v>9.49</v>
      </c>
      <c r="E21" s="23"/>
      <c r="J21" s="3"/>
      <c r="K21" s="3"/>
      <c r="N21" s="3"/>
    </row>
    <row r="22" spans="2:14" s="5" customFormat="1" ht="15" x14ac:dyDescent="0.25">
      <c r="D22" s="3"/>
      <c r="H22" s="7" t="s">
        <v>206</v>
      </c>
      <c r="I22" s="7"/>
      <c r="J22" s="3"/>
      <c r="K22" s="3"/>
      <c r="N22" s="3"/>
    </row>
    <row r="23" spans="2:14" s="5" customFormat="1" ht="15" x14ac:dyDescent="0.25">
      <c r="B23" s="7" t="s">
        <v>207</v>
      </c>
      <c r="C23" s="7"/>
      <c r="D23" s="3"/>
      <c r="H23" s="7" t="s">
        <v>208</v>
      </c>
      <c r="I23" s="7"/>
      <c r="J23" s="3"/>
      <c r="K23" s="3"/>
      <c r="N23" s="3"/>
    </row>
    <row r="24" spans="2:14" s="5" customFormat="1" ht="15" x14ac:dyDescent="0.25">
      <c r="B24" s="7" t="s">
        <v>209</v>
      </c>
      <c r="C24" s="7"/>
      <c r="D24" s="3"/>
      <c r="N24" s="3"/>
    </row>
    <row r="25" spans="2:14" s="5" customFormat="1" ht="15" x14ac:dyDescent="0.25">
      <c r="L25" s="3"/>
      <c r="M25" s="3"/>
      <c r="N25" s="3"/>
    </row>
    <row r="26" spans="2:14" s="5" customFormat="1" ht="15" x14ac:dyDescent="0.25">
      <c r="L26" s="3"/>
      <c r="M26" s="3"/>
      <c r="N26" s="3"/>
    </row>
    <row r="28" spans="2:14" ht="15" x14ac:dyDescent="0.25">
      <c r="B28" s="21" t="s">
        <v>210</v>
      </c>
    </row>
    <row r="29" spans="2:14" ht="15" x14ac:dyDescent="0.25">
      <c r="B29" s="21" t="s">
        <v>211</v>
      </c>
      <c r="C29" s="21" t="s">
        <v>159</v>
      </c>
      <c r="D29" s="21" t="s">
        <v>160</v>
      </c>
      <c r="E29" s="21" t="s">
        <v>162</v>
      </c>
      <c r="F29" s="21" t="s">
        <v>163</v>
      </c>
      <c r="G29" s="21" t="s">
        <v>212</v>
      </c>
    </row>
    <row r="30" spans="2:14" ht="15" x14ac:dyDescent="0.2">
      <c r="B30" s="24" t="s">
        <v>213</v>
      </c>
      <c r="C30" s="24">
        <v>3.4</v>
      </c>
      <c r="D30" s="24">
        <v>2.8</v>
      </c>
      <c r="E30" s="24">
        <v>9.6999999999999993</v>
      </c>
      <c r="F30" s="24">
        <v>5.3</v>
      </c>
      <c r="G30" s="24"/>
    </row>
    <row r="31" spans="2:14" ht="15" x14ac:dyDescent="0.2">
      <c r="B31" s="24" t="s">
        <v>214</v>
      </c>
      <c r="C31" s="24">
        <v>7.6</v>
      </c>
      <c r="D31" s="24">
        <v>7</v>
      </c>
      <c r="E31" s="24">
        <v>6.9</v>
      </c>
      <c r="F31" s="24">
        <v>3.4</v>
      </c>
      <c r="G31" s="24"/>
    </row>
    <row r="32" spans="2:14" ht="15" x14ac:dyDescent="0.2">
      <c r="B32" s="24" t="s">
        <v>215</v>
      </c>
      <c r="C32" s="24">
        <v>7.3</v>
      </c>
      <c r="D32" s="24">
        <v>4.9000000000000004</v>
      </c>
      <c r="E32" s="24">
        <v>1.9</v>
      </c>
      <c r="F32" s="24">
        <v>5.6</v>
      </c>
      <c r="G32" s="24"/>
    </row>
    <row r="33" spans="2:7" ht="15" x14ac:dyDescent="0.2">
      <c r="B33" s="24" t="s">
        <v>216</v>
      </c>
      <c r="C33" s="24">
        <v>5.5</v>
      </c>
      <c r="D33" s="24"/>
      <c r="E33" s="24"/>
      <c r="F33" s="24">
        <v>8.4</v>
      </c>
      <c r="G33" s="24"/>
    </row>
    <row r="40" spans="2:7" ht="15" x14ac:dyDescent="0.25">
      <c r="B40" s="21" t="s">
        <v>217</v>
      </c>
      <c r="D40" s="21" t="s">
        <v>218</v>
      </c>
      <c r="E40" s="25"/>
    </row>
    <row r="41" spans="2:7" ht="15" x14ac:dyDescent="0.2">
      <c r="B41" s="26">
        <v>4.5</v>
      </c>
    </row>
    <row r="42" spans="2:7" ht="15" x14ac:dyDescent="0.2">
      <c r="B42" s="26">
        <v>5.0999999999999996</v>
      </c>
    </row>
    <row r="43" spans="2:7" ht="15" x14ac:dyDescent="0.2">
      <c r="B43" s="26">
        <v>8.6999999999999993</v>
      </c>
    </row>
    <row r="44" spans="2:7" ht="15" x14ac:dyDescent="0.2">
      <c r="B44" s="26">
        <v>4.5</v>
      </c>
    </row>
    <row r="45" spans="2:7" ht="15" x14ac:dyDescent="0.2">
      <c r="B45" s="26">
        <v>4.0999999999999996</v>
      </c>
    </row>
    <row r="46" spans="2:7" ht="15" x14ac:dyDescent="0.25">
      <c r="B46" s="26">
        <v>9.9</v>
      </c>
      <c r="D46" s="21" t="s">
        <v>406</v>
      </c>
      <c r="E46" s="25"/>
    </row>
    <row r="47" spans="2:7" ht="15" x14ac:dyDescent="0.2">
      <c r="B47" s="26">
        <v>7</v>
      </c>
    </row>
    <row r="48" spans="2:7" ht="15" x14ac:dyDescent="0.2">
      <c r="B48" s="26">
        <v>2.8</v>
      </c>
    </row>
    <row r="49" spans="2:14" ht="15" x14ac:dyDescent="0.2">
      <c r="B49" s="26">
        <v>9.6999999999999993</v>
      </c>
    </row>
    <row r="50" spans="2:14" ht="15" x14ac:dyDescent="0.2">
      <c r="B50" s="26">
        <v>6.9</v>
      </c>
    </row>
    <row r="51" spans="2:14" ht="15" x14ac:dyDescent="0.2">
      <c r="B51" s="26">
        <v>1.9</v>
      </c>
    </row>
    <row r="58" spans="2:14" ht="15" x14ac:dyDescent="0.25">
      <c r="B58" s="21" t="s">
        <v>219</v>
      </c>
      <c r="C58" s="27" t="s">
        <v>220</v>
      </c>
      <c r="D58" s="27" t="s">
        <v>221</v>
      </c>
      <c r="E58" s="27" t="s">
        <v>222</v>
      </c>
      <c r="F58" s="27" t="s">
        <v>1</v>
      </c>
      <c r="G58" s="27" t="s">
        <v>223</v>
      </c>
      <c r="H58" s="27" t="s">
        <v>224</v>
      </c>
      <c r="I58" s="28" t="s">
        <v>225</v>
      </c>
      <c r="J58" s="28" t="s">
        <v>204</v>
      </c>
      <c r="K58" s="29" t="s">
        <v>226</v>
      </c>
      <c r="M58" s="8" t="s">
        <v>227</v>
      </c>
      <c r="N58" s="8"/>
    </row>
    <row r="59" spans="2:14" ht="15" x14ac:dyDescent="0.25">
      <c r="B59" s="30">
        <v>41275</v>
      </c>
      <c r="C59" s="31" t="s">
        <v>228</v>
      </c>
      <c r="D59" s="31" t="s">
        <v>229</v>
      </c>
      <c r="E59" s="31" t="s">
        <v>230</v>
      </c>
      <c r="F59" s="31" t="s">
        <v>231</v>
      </c>
      <c r="G59" s="31" t="s">
        <v>232</v>
      </c>
      <c r="H59" s="31" t="s">
        <v>233</v>
      </c>
      <c r="I59" s="32">
        <v>153</v>
      </c>
      <c r="J59" s="31">
        <v>150</v>
      </c>
      <c r="K59" s="33">
        <f t="shared" ref="K59:K72" si="1">I59*J59</f>
        <v>22950</v>
      </c>
      <c r="M59" s="8" t="s">
        <v>234</v>
      </c>
      <c r="N59" s="8"/>
    </row>
    <row r="60" spans="2:14" ht="15" x14ac:dyDescent="0.25">
      <c r="B60" s="30">
        <v>41276</v>
      </c>
      <c r="C60" s="31" t="s">
        <v>235</v>
      </c>
      <c r="D60" s="31" t="s">
        <v>236</v>
      </c>
      <c r="E60" s="31" t="s">
        <v>230</v>
      </c>
      <c r="F60" s="31" t="s">
        <v>237</v>
      </c>
      <c r="G60" s="31" t="s">
        <v>238</v>
      </c>
      <c r="H60" s="31" t="s">
        <v>239</v>
      </c>
      <c r="I60" s="32">
        <v>104</v>
      </c>
      <c r="J60" s="32">
        <v>1214</v>
      </c>
      <c r="K60" s="33">
        <f t="shared" si="1"/>
        <v>126256</v>
      </c>
      <c r="M60" s="8" t="s">
        <v>240</v>
      </c>
      <c r="N60" s="8"/>
    </row>
    <row r="61" spans="2:14" ht="15" x14ac:dyDescent="0.25">
      <c r="B61" s="30">
        <v>41277</v>
      </c>
      <c r="C61" s="31" t="s">
        <v>241</v>
      </c>
      <c r="D61" s="31" t="s">
        <v>229</v>
      </c>
      <c r="E61" s="31" t="s">
        <v>242</v>
      </c>
      <c r="F61" s="31" t="s">
        <v>25</v>
      </c>
      <c r="G61" s="31" t="s">
        <v>243</v>
      </c>
      <c r="H61" s="31" t="s">
        <v>244</v>
      </c>
      <c r="I61" s="32">
        <v>78</v>
      </c>
      <c r="J61" s="32">
        <v>150</v>
      </c>
      <c r="K61" s="33">
        <f t="shared" si="1"/>
        <v>11700</v>
      </c>
    </row>
    <row r="62" spans="2:14" ht="15" x14ac:dyDescent="0.25">
      <c r="B62" s="30">
        <v>41278</v>
      </c>
      <c r="C62" s="31" t="s">
        <v>245</v>
      </c>
      <c r="D62" s="31" t="s">
        <v>229</v>
      </c>
      <c r="E62" s="31" t="s">
        <v>242</v>
      </c>
      <c r="F62" s="31" t="s">
        <v>25</v>
      </c>
      <c r="G62" s="31" t="s">
        <v>246</v>
      </c>
      <c r="H62" s="31" t="s">
        <v>247</v>
      </c>
      <c r="I62" s="32">
        <v>94</v>
      </c>
      <c r="J62" s="32">
        <v>150</v>
      </c>
      <c r="K62" s="33">
        <f t="shared" si="1"/>
        <v>14100</v>
      </c>
    </row>
    <row r="63" spans="2:14" ht="15" x14ac:dyDescent="0.25">
      <c r="B63" s="30">
        <v>41279</v>
      </c>
      <c r="C63" s="31" t="s">
        <v>248</v>
      </c>
      <c r="D63" s="31" t="s">
        <v>229</v>
      </c>
      <c r="E63" s="31" t="s">
        <v>249</v>
      </c>
      <c r="F63" s="31" t="s">
        <v>39</v>
      </c>
      <c r="G63" s="31"/>
      <c r="H63" s="31" t="s">
        <v>244</v>
      </c>
      <c r="I63" s="32">
        <v>65</v>
      </c>
      <c r="J63" s="32">
        <v>150</v>
      </c>
      <c r="K63" s="33">
        <f t="shared" si="1"/>
        <v>9750</v>
      </c>
    </row>
    <row r="64" spans="2:14" ht="15" x14ac:dyDescent="0.25">
      <c r="B64" s="30">
        <v>41280</v>
      </c>
      <c r="C64" s="31" t="s">
        <v>250</v>
      </c>
      <c r="D64" s="31" t="s">
        <v>251</v>
      </c>
      <c r="E64" s="31" t="s">
        <v>230</v>
      </c>
      <c r="F64" s="31" t="s">
        <v>231</v>
      </c>
      <c r="G64" s="31" t="s">
        <v>238</v>
      </c>
      <c r="H64" s="31" t="s">
        <v>239</v>
      </c>
      <c r="I64" s="32">
        <v>81</v>
      </c>
      <c r="J64" s="32">
        <v>14</v>
      </c>
      <c r="K64" s="33">
        <f t="shared" si="1"/>
        <v>1134</v>
      </c>
    </row>
    <row r="65" spans="2:11" ht="15" x14ac:dyDescent="0.25">
      <c r="B65" s="30">
        <v>41281</v>
      </c>
      <c r="C65" s="31" t="s">
        <v>252</v>
      </c>
      <c r="D65" s="31" t="s">
        <v>253</v>
      </c>
      <c r="E65" s="31"/>
      <c r="F65" s="31" t="s">
        <v>231</v>
      </c>
      <c r="G65" s="31" t="s">
        <v>238</v>
      </c>
      <c r="H65" s="31" t="s">
        <v>239</v>
      </c>
      <c r="I65" s="32">
        <v>116</v>
      </c>
      <c r="J65" s="32">
        <v>110</v>
      </c>
      <c r="K65" s="33">
        <f t="shared" si="1"/>
        <v>12760</v>
      </c>
    </row>
    <row r="66" spans="2:11" ht="15" x14ac:dyDescent="0.25">
      <c r="B66" s="30">
        <v>41282</v>
      </c>
      <c r="C66" s="31" t="s">
        <v>254</v>
      </c>
      <c r="D66" s="31" t="s">
        <v>229</v>
      </c>
      <c r="E66" s="31" t="s">
        <v>255</v>
      </c>
      <c r="F66" s="31" t="s">
        <v>256</v>
      </c>
      <c r="G66" s="31"/>
      <c r="H66" s="31" t="s">
        <v>247</v>
      </c>
      <c r="I66" s="32">
        <v>106</v>
      </c>
      <c r="J66" s="32">
        <v>150</v>
      </c>
      <c r="K66" s="33"/>
    </row>
    <row r="67" spans="2:11" ht="15" x14ac:dyDescent="0.25">
      <c r="B67" s="30">
        <v>41283</v>
      </c>
      <c r="C67" s="31" t="s">
        <v>257</v>
      </c>
      <c r="D67" s="31" t="s">
        <v>229</v>
      </c>
      <c r="E67" s="31" t="s">
        <v>249</v>
      </c>
      <c r="F67" s="31" t="s">
        <v>39</v>
      </c>
      <c r="G67" s="31" t="s">
        <v>243</v>
      </c>
      <c r="H67" s="31" t="s">
        <v>244</v>
      </c>
      <c r="I67" s="32">
        <v>102</v>
      </c>
      <c r="J67" s="32">
        <v>150</v>
      </c>
      <c r="K67" s="33">
        <f t="shared" si="1"/>
        <v>15300</v>
      </c>
    </row>
    <row r="68" spans="2:11" ht="15" x14ac:dyDescent="0.25">
      <c r="B68" s="30">
        <v>41284</v>
      </c>
      <c r="C68" s="31" t="s">
        <v>258</v>
      </c>
      <c r="D68" s="31" t="s">
        <v>236</v>
      </c>
      <c r="E68" s="31" t="s">
        <v>242</v>
      </c>
      <c r="F68" s="31"/>
      <c r="G68" s="31" t="s">
        <v>246</v>
      </c>
      <c r="H68" s="31" t="s">
        <v>247</v>
      </c>
      <c r="I68" s="32">
        <v>111</v>
      </c>
      <c r="J68" s="32">
        <v>1214</v>
      </c>
      <c r="K68" s="33"/>
    </row>
    <row r="69" spans="2:11" ht="15" x14ac:dyDescent="0.25">
      <c r="B69" s="30">
        <v>41285</v>
      </c>
      <c r="C69" s="31" t="s">
        <v>259</v>
      </c>
      <c r="D69" s="31"/>
      <c r="E69" s="31" t="s">
        <v>230</v>
      </c>
      <c r="F69" s="31" t="s">
        <v>231</v>
      </c>
      <c r="G69" s="31" t="s">
        <v>238</v>
      </c>
      <c r="H69" s="31" t="s">
        <v>239</v>
      </c>
      <c r="I69" s="32">
        <v>116</v>
      </c>
      <c r="J69" s="32">
        <v>110</v>
      </c>
      <c r="K69" s="33">
        <f t="shared" si="1"/>
        <v>12760</v>
      </c>
    </row>
    <row r="70" spans="2:11" ht="15" x14ac:dyDescent="0.25">
      <c r="B70" s="30">
        <v>41286</v>
      </c>
      <c r="C70" s="31" t="s">
        <v>260</v>
      </c>
      <c r="D70" s="31" t="s">
        <v>229</v>
      </c>
      <c r="E70" s="31" t="s">
        <v>230</v>
      </c>
      <c r="F70" s="31" t="s">
        <v>231</v>
      </c>
      <c r="G70" s="31" t="s">
        <v>232</v>
      </c>
      <c r="H70" s="31" t="s">
        <v>233</v>
      </c>
      <c r="I70" s="32">
        <v>153</v>
      </c>
      <c r="J70" s="32">
        <v>150</v>
      </c>
      <c r="K70" s="33">
        <f t="shared" si="1"/>
        <v>22950</v>
      </c>
    </row>
    <row r="71" spans="2:11" ht="15" x14ac:dyDescent="0.25">
      <c r="B71" s="30">
        <v>41287</v>
      </c>
      <c r="C71" s="31" t="s">
        <v>261</v>
      </c>
      <c r="D71" s="31" t="s">
        <v>236</v>
      </c>
      <c r="E71" s="31"/>
      <c r="F71" s="31" t="s">
        <v>25</v>
      </c>
      <c r="G71" s="31" t="s">
        <v>246</v>
      </c>
      <c r="H71" s="31"/>
      <c r="I71" s="32">
        <v>111</v>
      </c>
      <c r="J71" s="32">
        <v>1214</v>
      </c>
      <c r="K71" s="33">
        <f t="shared" si="1"/>
        <v>134754</v>
      </c>
    </row>
    <row r="72" spans="2:11" ht="15" x14ac:dyDescent="0.25">
      <c r="B72" s="30">
        <v>41288</v>
      </c>
      <c r="C72" s="31" t="s">
        <v>262</v>
      </c>
      <c r="D72" s="31" t="s">
        <v>253</v>
      </c>
      <c r="E72" s="31" t="s">
        <v>230</v>
      </c>
      <c r="F72" s="31" t="s">
        <v>231</v>
      </c>
      <c r="G72" s="31" t="s">
        <v>232</v>
      </c>
      <c r="H72" s="31" t="s">
        <v>233</v>
      </c>
      <c r="I72" s="32">
        <v>118</v>
      </c>
      <c r="J72" s="32">
        <v>110</v>
      </c>
      <c r="K72" s="33">
        <f t="shared" si="1"/>
        <v>12980</v>
      </c>
    </row>
    <row r="79" spans="2:11" x14ac:dyDescent="0.2">
      <c r="J79" s="8" t="s">
        <v>271</v>
      </c>
      <c r="K79" s="8"/>
    </row>
    <row r="80" spans="2:11" ht="15" x14ac:dyDescent="0.25">
      <c r="B80" s="21" t="s">
        <v>219</v>
      </c>
      <c r="C80" s="27" t="s">
        <v>221</v>
      </c>
      <c r="D80" s="27" t="s">
        <v>222</v>
      </c>
      <c r="E80" s="27" t="s">
        <v>223</v>
      </c>
      <c r="F80" s="28" t="s">
        <v>225</v>
      </c>
      <c r="G80" s="28" t="s">
        <v>204</v>
      </c>
      <c r="H80" s="29" t="s">
        <v>226</v>
      </c>
      <c r="J80" s="8" t="s">
        <v>272</v>
      </c>
      <c r="K80" s="8"/>
    </row>
    <row r="81" spans="2:11" ht="15" x14ac:dyDescent="0.25">
      <c r="B81" s="30">
        <v>41275</v>
      </c>
      <c r="C81" s="31" t="s">
        <v>229</v>
      </c>
      <c r="D81" s="31" t="s">
        <v>230</v>
      </c>
      <c r="E81" s="31" t="s">
        <v>232</v>
      </c>
      <c r="F81" s="32">
        <v>153</v>
      </c>
      <c r="G81" s="31">
        <v>150</v>
      </c>
      <c r="H81" s="33">
        <f t="shared" ref="H81:H87" si="2">F81*G81</f>
        <v>22950</v>
      </c>
      <c r="J81" s="8" t="s">
        <v>273</v>
      </c>
      <c r="K81" s="8"/>
    </row>
    <row r="82" spans="2:11" ht="15" x14ac:dyDescent="0.25">
      <c r="B82" s="30">
        <v>41276</v>
      </c>
      <c r="C82" s="31" t="s">
        <v>236</v>
      </c>
      <c r="D82" s="31" t="s">
        <v>230</v>
      </c>
      <c r="E82" s="31" t="s">
        <v>238</v>
      </c>
      <c r="F82" s="32">
        <v>104</v>
      </c>
      <c r="G82" s="32">
        <v>1214</v>
      </c>
      <c r="H82" s="33">
        <f t="shared" si="2"/>
        <v>126256</v>
      </c>
      <c r="J82" s="8" t="s">
        <v>270</v>
      </c>
      <c r="K82" s="8"/>
    </row>
    <row r="83" spans="2:11" ht="15" x14ac:dyDescent="0.25">
      <c r="B83" s="30">
        <v>41277</v>
      </c>
      <c r="C83" s="31" t="s">
        <v>229</v>
      </c>
      <c r="D83" s="31" t="s">
        <v>242</v>
      </c>
      <c r="E83" s="31" t="s">
        <v>243</v>
      </c>
      <c r="F83" s="32">
        <v>78</v>
      </c>
      <c r="G83" s="32">
        <v>150</v>
      </c>
      <c r="H83" s="33">
        <f t="shared" si="2"/>
        <v>11700</v>
      </c>
      <c r="J83" s="8" t="s">
        <v>275</v>
      </c>
      <c r="K83" s="8"/>
    </row>
    <row r="84" spans="2:11" ht="15" x14ac:dyDescent="0.25">
      <c r="B84" s="30">
        <v>41278</v>
      </c>
      <c r="C84" s="31" t="s">
        <v>229</v>
      </c>
      <c r="D84" s="31" t="s">
        <v>242</v>
      </c>
      <c r="E84" s="31" t="s">
        <v>246</v>
      </c>
      <c r="F84" s="32">
        <v>94</v>
      </c>
      <c r="G84" s="32">
        <v>150</v>
      </c>
      <c r="H84" s="33">
        <f t="shared" si="2"/>
        <v>14100</v>
      </c>
      <c r="J84" s="8" t="s">
        <v>274</v>
      </c>
      <c r="K84" s="8"/>
    </row>
    <row r="85" spans="2:11" ht="15" x14ac:dyDescent="0.25">
      <c r="B85" s="30">
        <v>41279</v>
      </c>
      <c r="C85" s="31" t="s">
        <v>229</v>
      </c>
      <c r="D85" s="31" t="s">
        <v>249</v>
      </c>
      <c r="E85" s="31" t="s">
        <v>246</v>
      </c>
      <c r="F85" s="32">
        <v>65</v>
      </c>
      <c r="G85" s="32">
        <v>150</v>
      </c>
      <c r="H85" s="33">
        <f t="shared" si="2"/>
        <v>9750</v>
      </c>
      <c r="J85" s="8" t="s">
        <v>276</v>
      </c>
      <c r="K85" s="8"/>
    </row>
    <row r="86" spans="2:11" ht="15" x14ac:dyDescent="0.25">
      <c r="B86" s="30">
        <v>41280</v>
      </c>
      <c r="C86" s="31" t="s">
        <v>251</v>
      </c>
      <c r="D86" s="31" t="s">
        <v>230</v>
      </c>
      <c r="E86" s="31" t="s">
        <v>238</v>
      </c>
      <c r="F86" s="32">
        <v>81</v>
      </c>
      <c r="G86" s="32">
        <v>14</v>
      </c>
      <c r="H86" s="33">
        <f t="shared" si="2"/>
        <v>1134</v>
      </c>
      <c r="J86" s="8" t="s">
        <v>277</v>
      </c>
      <c r="K86" s="8"/>
    </row>
    <row r="87" spans="2:11" ht="15" x14ac:dyDescent="0.25">
      <c r="B87" s="30">
        <v>41281</v>
      </c>
      <c r="C87" s="31" t="s">
        <v>253</v>
      </c>
      <c r="D87" s="31" t="s">
        <v>230</v>
      </c>
      <c r="E87" s="31" t="s">
        <v>238</v>
      </c>
      <c r="F87" s="32">
        <v>116</v>
      </c>
      <c r="G87" s="32">
        <v>110</v>
      </c>
      <c r="H87" s="33">
        <f t="shared" si="2"/>
        <v>12760</v>
      </c>
    </row>
    <row r="88" spans="2:11" ht="15" x14ac:dyDescent="0.25">
      <c r="B88" s="30">
        <v>41282</v>
      </c>
      <c r="C88" s="31" t="s">
        <v>229</v>
      </c>
      <c r="D88" s="31" t="s">
        <v>255</v>
      </c>
      <c r="E88" s="31" t="s">
        <v>238</v>
      </c>
      <c r="F88" s="32">
        <v>106</v>
      </c>
      <c r="G88" s="32">
        <v>150</v>
      </c>
      <c r="H88" s="33">
        <v>5874.32</v>
      </c>
    </row>
    <row r="89" spans="2:11" ht="15" x14ac:dyDescent="0.25">
      <c r="B89" s="30">
        <v>41283</v>
      </c>
      <c r="C89" s="31" t="s">
        <v>229</v>
      </c>
      <c r="D89" s="31" t="s">
        <v>249</v>
      </c>
      <c r="E89" s="31" t="s">
        <v>243</v>
      </c>
      <c r="F89" s="32">
        <v>102</v>
      </c>
      <c r="G89" s="32">
        <v>150</v>
      </c>
      <c r="H89" s="33">
        <f t="shared" ref="H89" si="3">F89*G89</f>
        <v>15300</v>
      </c>
    </row>
    <row r="90" spans="2:11" ht="15" x14ac:dyDescent="0.25">
      <c r="B90" s="30">
        <v>41284</v>
      </c>
      <c r="C90" s="31" t="s">
        <v>236</v>
      </c>
      <c r="D90" s="31" t="s">
        <v>249</v>
      </c>
      <c r="E90" s="31" t="s">
        <v>246</v>
      </c>
      <c r="F90" s="32">
        <v>111</v>
      </c>
      <c r="G90" s="32">
        <v>1214</v>
      </c>
      <c r="H90" s="33">
        <v>9541.25</v>
      </c>
    </row>
    <row r="91" spans="2:11" ht="15" x14ac:dyDescent="0.25">
      <c r="B91" s="30">
        <v>41285</v>
      </c>
      <c r="C91" s="31" t="s">
        <v>236</v>
      </c>
      <c r="D91" s="31" t="s">
        <v>230</v>
      </c>
      <c r="E91" s="31" t="s">
        <v>238</v>
      </c>
      <c r="F91" s="32">
        <v>116</v>
      </c>
      <c r="G91" s="32">
        <v>110</v>
      </c>
      <c r="H91" s="33">
        <f t="shared" ref="H91:H94" si="4">F91*G91</f>
        <v>12760</v>
      </c>
    </row>
    <row r="92" spans="2:11" ht="15" x14ac:dyDescent="0.25">
      <c r="B92" s="30">
        <v>41286</v>
      </c>
      <c r="C92" s="31" t="s">
        <v>229</v>
      </c>
      <c r="D92" s="31" t="s">
        <v>230</v>
      </c>
      <c r="E92" s="31" t="s">
        <v>232</v>
      </c>
      <c r="F92" s="32">
        <v>153</v>
      </c>
      <c r="G92" s="32">
        <v>150</v>
      </c>
      <c r="H92" s="33">
        <f t="shared" si="4"/>
        <v>22950</v>
      </c>
    </row>
    <row r="93" spans="2:11" ht="15" x14ac:dyDescent="0.25">
      <c r="B93" s="30">
        <v>41287</v>
      </c>
      <c r="C93" s="31" t="s">
        <v>236</v>
      </c>
      <c r="D93" s="31" t="s">
        <v>242</v>
      </c>
      <c r="E93" s="31" t="s">
        <v>246</v>
      </c>
      <c r="F93" s="32">
        <v>111</v>
      </c>
      <c r="G93" s="32">
        <v>1214</v>
      </c>
      <c r="H93" s="33">
        <f t="shared" si="4"/>
        <v>134754</v>
      </c>
    </row>
    <row r="94" spans="2:11" ht="15" x14ac:dyDescent="0.25">
      <c r="B94" s="30">
        <v>41288</v>
      </c>
      <c r="C94" s="31" t="s">
        <v>253</v>
      </c>
      <c r="D94" s="31" t="s">
        <v>230</v>
      </c>
      <c r="E94" s="31" t="s">
        <v>232</v>
      </c>
      <c r="F94" s="32">
        <v>118</v>
      </c>
      <c r="G94" s="32">
        <v>110</v>
      </c>
      <c r="H94" s="33">
        <f t="shared" si="4"/>
        <v>12980</v>
      </c>
    </row>
  </sheetData>
  <pageMargins left="0.511811024" right="0.511811024" top="0.78740157499999996" bottom="0.78740157499999996" header="0.31496062000000002" footer="0.31496062000000002"/>
  <pageSetup paperSize="9" scale="7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C055-CB55-4FE8-B1ED-6C0396F203E9}">
  <dimension ref="A1:J101"/>
  <sheetViews>
    <sheetView showGridLines="0" topLeftCell="A12" workbookViewId="0">
      <selection activeCell="I9" sqref="I9"/>
    </sheetView>
  </sheetViews>
  <sheetFormatPr defaultRowHeight="15" x14ac:dyDescent="0.25"/>
  <cols>
    <col min="1" max="1" width="39.140625" bestFit="1" customWidth="1"/>
    <col min="2" max="2" width="11.5703125" style="1" customWidth="1"/>
    <col min="3" max="5" width="11.28515625" style="1" customWidth="1"/>
    <col min="6" max="6" width="11" style="10" bestFit="1" customWidth="1"/>
    <col min="7" max="8" width="11.5703125" bestFit="1" customWidth="1"/>
    <col min="9" max="9" width="30.7109375" bestFit="1" customWidth="1"/>
    <col min="10" max="10" width="18.140625" customWidth="1"/>
  </cols>
  <sheetData>
    <row r="1" spans="1:10" ht="15.75" x14ac:dyDescent="0.25">
      <c r="A1" s="64" t="s">
        <v>158</v>
      </c>
      <c r="B1" s="65" t="s">
        <v>159</v>
      </c>
      <c r="C1" s="65" t="s">
        <v>160</v>
      </c>
      <c r="D1" s="65" t="s">
        <v>162</v>
      </c>
      <c r="E1" s="65" t="s">
        <v>163</v>
      </c>
      <c r="F1" s="66" t="s">
        <v>161</v>
      </c>
      <c r="I1" s="70" t="s">
        <v>285</v>
      </c>
    </row>
    <row r="2" spans="1:10" x14ac:dyDescent="0.25">
      <c r="A2" s="60" t="s">
        <v>382</v>
      </c>
      <c r="B2" s="9">
        <v>8.16</v>
      </c>
      <c r="C2" s="9">
        <v>6.02</v>
      </c>
      <c r="D2" s="9">
        <v>9.41</v>
      </c>
      <c r="E2" s="9">
        <v>2.58</v>
      </c>
      <c r="F2" s="67"/>
      <c r="G2" s="2"/>
      <c r="H2" s="2"/>
      <c r="I2" s="60" t="s">
        <v>266</v>
      </c>
      <c r="J2" s="60"/>
    </row>
    <row r="3" spans="1:10" x14ac:dyDescent="0.25">
      <c r="A3" s="60" t="s">
        <v>286</v>
      </c>
      <c r="B3" s="9">
        <v>4.1100000000000003</v>
      </c>
      <c r="C3" s="9">
        <v>8.43</v>
      </c>
      <c r="D3" s="9">
        <v>7.54</v>
      </c>
      <c r="E3" s="9">
        <v>1.76</v>
      </c>
      <c r="F3" s="67"/>
      <c r="G3" s="2"/>
      <c r="H3" s="2"/>
      <c r="I3" s="60" t="s">
        <v>265</v>
      </c>
      <c r="J3" s="60"/>
    </row>
    <row r="4" spans="1:10" x14ac:dyDescent="0.25">
      <c r="A4" s="60" t="s">
        <v>383</v>
      </c>
      <c r="B4" s="9">
        <v>5.0999999999999996</v>
      </c>
      <c r="C4" s="9">
        <v>3.5</v>
      </c>
      <c r="D4" s="9">
        <v>1.3</v>
      </c>
      <c r="E4" s="9">
        <v>6.49</v>
      </c>
      <c r="F4" s="67"/>
      <c r="G4" s="2"/>
      <c r="H4" s="2"/>
      <c r="I4" s="60" t="s">
        <v>264</v>
      </c>
      <c r="J4" s="60"/>
    </row>
    <row r="5" spans="1:10" x14ac:dyDescent="0.25">
      <c r="A5" s="60" t="s">
        <v>287</v>
      </c>
      <c r="B5" s="9">
        <v>6.43</v>
      </c>
      <c r="C5" s="9">
        <v>6.43</v>
      </c>
      <c r="D5" s="9">
        <v>6.4</v>
      </c>
      <c r="E5" s="9">
        <v>9.33</v>
      </c>
      <c r="F5" s="67"/>
      <c r="G5" s="2"/>
      <c r="H5" s="2"/>
    </row>
    <row r="6" spans="1:10" x14ac:dyDescent="0.25">
      <c r="A6" s="60" t="s">
        <v>384</v>
      </c>
      <c r="B6" s="9">
        <v>5.62</v>
      </c>
      <c r="C6" s="9">
        <v>3.84</v>
      </c>
      <c r="D6" s="9">
        <v>8.68</v>
      </c>
      <c r="E6" s="9">
        <v>8.1999999999999993</v>
      </c>
      <c r="F6" s="67"/>
      <c r="G6" s="2"/>
      <c r="H6" s="2"/>
    </row>
    <row r="7" spans="1:10" x14ac:dyDescent="0.25">
      <c r="A7" s="60" t="s">
        <v>385</v>
      </c>
      <c r="B7" s="9">
        <v>6.28</v>
      </c>
      <c r="C7" s="9">
        <v>4.84</v>
      </c>
      <c r="D7" s="9">
        <v>4.93</v>
      </c>
      <c r="E7" s="9">
        <v>8.7200000000000006</v>
      </c>
      <c r="F7" s="67"/>
      <c r="G7" s="2"/>
      <c r="H7" s="2"/>
    </row>
    <row r="8" spans="1:10" x14ac:dyDescent="0.25">
      <c r="A8" s="60" t="s">
        <v>288</v>
      </c>
      <c r="B8" s="9">
        <v>1.42</v>
      </c>
      <c r="C8" s="9">
        <v>1.84</v>
      </c>
      <c r="D8" s="9">
        <v>5.07</v>
      </c>
      <c r="E8" s="9">
        <v>6.03</v>
      </c>
      <c r="F8" s="67"/>
      <c r="G8" s="2"/>
      <c r="H8" s="2"/>
    </row>
    <row r="9" spans="1:10" x14ac:dyDescent="0.25">
      <c r="A9" s="60" t="s">
        <v>289</v>
      </c>
      <c r="B9" s="9">
        <v>7.32</v>
      </c>
      <c r="C9" s="9">
        <v>3.19</v>
      </c>
      <c r="D9" s="9">
        <v>5.47</v>
      </c>
      <c r="E9" s="9">
        <v>7.91</v>
      </c>
      <c r="F9" s="67"/>
      <c r="G9" s="2"/>
      <c r="H9" s="2"/>
    </row>
    <row r="10" spans="1:10" x14ac:dyDescent="0.25">
      <c r="A10" s="60" t="s">
        <v>290</v>
      </c>
      <c r="B10" s="9">
        <v>8.1</v>
      </c>
      <c r="C10" s="9">
        <v>4.25</v>
      </c>
      <c r="D10" s="9">
        <v>9.0299999999999994</v>
      </c>
      <c r="E10" s="9">
        <v>7.76</v>
      </c>
      <c r="F10" s="67"/>
      <c r="G10" s="2"/>
      <c r="H10" s="2"/>
    </row>
    <row r="11" spans="1:10" x14ac:dyDescent="0.25">
      <c r="A11" s="60" t="s">
        <v>291</v>
      </c>
      <c r="B11" s="9">
        <v>9.6300000000000008</v>
      </c>
      <c r="C11" s="9">
        <v>5.18</v>
      </c>
      <c r="D11" s="9">
        <v>5.49</v>
      </c>
      <c r="E11" s="9">
        <v>1.6</v>
      </c>
      <c r="F11" s="67"/>
      <c r="G11" s="2"/>
      <c r="H11" s="2"/>
    </row>
    <row r="12" spans="1:10" x14ac:dyDescent="0.25">
      <c r="A12" s="60" t="s">
        <v>292</v>
      </c>
      <c r="B12" s="9">
        <v>5.23</v>
      </c>
      <c r="C12" s="9">
        <v>6.79</v>
      </c>
      <c r="D12" s="9">
        <v>6.56</v>
      </c>
      <c r="E12" s="9">
        <v>4.8099999999999996</v>
      </c>
      <c r="F12" s="67"/>
      <c r="G12" s="2"/>
      <c r="H12" s="2"/>
    </row>
    <row r="13" spans="1:10" x14ac:dyDescent="0.25">
      <c r="A13" s="60" t="s">
        <v>293</v>
      </c>
      <c r="B13" s="9">
        <v>3.41</v>
      </c>
      <c r="C13" s="9">
        <v>6.19</v>
      </c>
      <c r="D13" s="9">
        <v>2.61</v>
      </c>
      <c r="E13" s="9">
        <v>3.18</v>
      </c>
      <c r="F13" s="67"/>
      <c r="G13" s="2"/>
      <c r="H13" s="2"/>
    </row>
    <row r="14" spans="1:10" x14ac:dyDescent="0.25">
      <c r="A14" s="60" t="s">
        <v>294</v>
      </c>
      <c r="B14" s="9">
        <v>1.93</v>
      </c>
      <c r="C14" s="9">
        <v>6.82</v>
      </c>
      <c r="D14" s="9">
        <v>7.76</v>
      </c>
      <c r="E14" s="9">
        <v>2.11</v>
      </c>
      <c r="F14" s="67"/>
      <c r="G14" s="2"/>
      <c r="H14" s="2"/>
    </row>
    <row r="15" spans="1:10" x14ac:dyDescent="0.25">
      <c r="A15" s="60" t="s">
        <v>295</v>
      </c>
      <c r="B15" s="9">
        <v>4.67</v>
      </c>
      <c r="C15" s="9">
        <v>8.2799999999999994</v>
      </c>
      <c r="D15" s="9">
        <v>7.61</v>
      </c>
      <c r="E15" s="9">
        <v>8.58</v>
      </c>
      <c r="F15" s="67"/>
      <c r="G15" s="2"/>
      <c r="H15" s="2"/>
    </row>
    <row r="16" spans="1:10" x14ac:dyDescent="0.25">
      <c r="A16" s="60" t="s">
        <v>296</v>
      </c>
      <c r="B16" s="9">
        <v>7.94</v>
      </c>
      <c r="C16" s="9">
        <v>3.91</v>
      </c>
      <c r="D16" s="9">
        <v>2.4300000000000002</v>
      </c>
      <c r="E16" s="9">
        <v>2.9</v>
      </c>
      <c r="F16" s="67"/>
      <c r="G16" s="2"/>
      <c r="H16" s="2"/>
    </row>
    <row r="17" spans="1:8" x14ac:dyDescent="0.25">
      <c r="A17" s="60" t="s">
        <v>297</v>
      </c>
      <c r="B17" s="9">
        <v>5.21</v>
      </c>
      <c r="C17" s="9">
        <v>9.57</v>
      </c>
      <c r="D17" s="9">
        <v>6.44</v>
      </c>
      <c r="E17" s="9">
        <v>2.68</v>
      </c>
      <c r="F17" s="67"/>
      <c r="G17" s="2"/>
      <c r="H17" s="2"/>
    </row>
    <row r="18" spans="1:8" x14ac:dyDescent="0.25">
      <c r="A18" s="60" t="s">
        <v>298</v>
      </c>
      <c r="B18" s="9">
        <v>4.41</v>
      </c>
      <c r="C18" s="9">
        <v>5.31</v>
      </c>
      <c r="D18" s="9">
        <v>2.06</v>
      </c>
      <c r="E18" s="9">
        <v>5.83</v>
      </c>
      <c r="F18" s="67"/>
      <c r="G18" s="2"/>
      <c r="H18" s="2"/>
    </row>
    <row r="19" spans="1:8" x14ac:dyDescent="0.25">
      <c r="A19" s="60" t="s">
        <v>299</v>
      </c>
      <c r="B19" s="9">
        <v>3.08</v>
      </c>
      <c r="C19" s="9">
        <v>9.44</v>
      </c>
      <c r="D19" s="9">
        <v>7.14</v>
      </c>
      <c r="E19" s="9">
        <v>8.11</v>
      </c>
      <c r="F19" s="67"/>
      <c r="G19" s="2"/>
      <c r="H19" s="2"/>
    </row>
    <row r="20" spans="1:8" x14ac:dyDescent="0.25">
      <c r="A20" s="60" t="s">
        <v>300</v>
      </c>
      <c r="B20" s="9">
        <v>4.08</v>
      </c>
      <c r="C20" s="9">
        <v>8.7899999999999991</v>
      </c>
      <c r="D20" s="9">
        <v>8.7100000000000009</v>
      </c>
      <c r="E20" s="9">
        <v>5.47</v>
      </c>
      <c r="F20" s="67"/>
      <c r="G20" s="2"/>
      <c r="H20" s="2"/>
    </row>
    <row r="21" spans="1:8" x14ac:dyDescent="0.25">
      <c r="A21" s="60" t="s">
        <v>301</v>
      </c>
      <c r="B21" s="9">
        <v>3.69</v>
      </c>
      <c r="C21" s="9">
        <v>6.71</v>
      </c>
      <c r="D21" s="9">
        <v>4.95</v>
      </c>
      <c r="E21" s="9">
        <v>8.48</v>
      </c>
      <c r="F21" s="67"/>
      <c r="G21" s="2"/>
      <c r="H21" s="2"/>
    </row>
    <row r="22" spans="1:8" x14ac:dyDescent="0.25">
      <c r="A22" s="60" t="s">
        <v>302</v>
      </c>
      <c r="B22" s="9">
        <v>9.42</v>
      </c>
      <c r="C22" s="9">
        <v>7.99</v>
      </c>
      <c r="D22" s="9">
        <v>7.13</v>
      </c>
      <c r="E22" s="9">
        <v>5.81</v>
      </c>
      <c r="F22" s="67"/>
      <c r="G22" s="2"/>
      <c r="H22" s="2"/>
    </row>
    <row r="23" spans="1:8" x14ac:dyDescent="0.25">
      <c r="A23" s="60" t="s">
        <v>303</v>
      </c>
      <c r="B23" s="9">
        <v>6.06</v>
      </c>
      <c r="C23" s="9">
        <v>9.4</v>
      </c>
      <c r="D23" s="9">
        <v>4.53</v>
      </c>
      <c r="E23" s="9">
        <v>2.84</v>
      </c>
      <c r="F23" s="67"/>
      <c r="G23" s="2"/>
      <c r="H23" s="2"/>
    </row>
    <row r="24" spans="1:8" x14ac:dyDescent="0.25">
      <c r="A24" s="60" t="s">
        <v>304</v>
      </c>
      <c r="B24" s="9">
        <v>5.78</v>
      </c>
      <c r="C24" s="9">
        <v>6.7</v>
      </c>
      <c r="D24" s="9">
        <v>6.39</v>
      </c>
      <c r="E24" s="9">
        <v>4.3099999999999996</v>
      </c>
      <c r="F24" s="67"/>
      <c r="G24" s="2"/>
      <c r="H24" s="2"/>
    </row>
    <row r="25" spans="1:8" x14ac:dyDescent="0.25">
      <c r="A25" s="60" t="s">
        <v>305</v>
      </c>
      <c r="B25" s="9">
        <v>9.4</v>
      </c>
      <c r="C25" s="9">
        <v>9.16</v>
      </c>
      <c r="D25" s="9">
        <v>5.05</v>
      </c>
      <c r="E25" s="9">
        <v>6.6</v>
      </c>
      <c r="F25" s="67"/>
      <c r="G25" s="2"/>
      <c r="H25" s="2"/>
    </row>
    <row r="26" spans="1:8" x14ac:dyDescent="0.25">
      <c r="A26" s="60" t="s">
        <v>306</v>
      </c>
      <c r="B26" s="9">
        <v>9.6</v>
      </c>
      <c r="C26" s="9">
        <v>7.19</v>
      </c>
      <c r="D26" s="9">
        <v>3.77</v>
      </c>
      <c r="E26" s="9">
        <v>9.7200000000000006</v>
      </c>
      <c r="F26" s="67"/>
      <c r="G26" s="2"/>
      <c r="H26" s="2"/>
    </row>
    <row r="27" spans="1:8" x14ac:dyDescent="0.25">
      <c r="A27" s="60" t="s">
        <v>307</v>
      </c>
      <c r="B27" s="9">
        <v>4.8499999999999996</v>
      </c>
      <c r="C27" s="9">
        <v>5.25</v>
      </c>
      <c r="D27" s="9">
        <v>7.11</v>
      </c>
      <c r="E27" s="9">
        <v>6.55</v>
      </c>
      <c r="F27" s="67"/>
      <c r="G27" s="2"/>
      <c r="H27" s="2"/>
    </row>
    <row r="28" spans="1:8" x14ac:dyDescent="0.25">
      <c r="A28" s="60" t="s">
        <v>308</v>
      </c>
      <c r="B28" s="9">
        <v>2.16</v>
      </c>
      <c r="C28" s="9">
        <v>2.3199999999999998</v>
      </c>
      <c r="D28" s="9">
        <v>6.72</v>
      </c>
      <c r="E28" s="9">
        <v>7.61</v>
      </c>
      <c r="F28" s="67"/>
      <c r="G28" s="2"/>
      <c r="H28" s="2"/>
    </row>
    <row r="29" spans="1:8" x14ac:dyDescent="0.25">
      <c r="A29" s="60" t="s">
        <v>309</v>
      </c>
      <c r="B29" s="9">
        <v>4.78</v>
      </c>
      <c r="C29" s="9">
        <v>2.86</v>
      </c>
      <c r="D29" s="9">
        <v>6.47</v>
      </c>
      <c r="E29" s="9">
        <v>6.05</v>
      </c>
      <c r="F29" s="67"/>
      <c r="G29" s="2"/>
      <c r="H29" s="2"/>
    </row>
    <row r="30" spans="1:8" x14ac:dyDescent="0.25">
      <c r="A30" s="60" t="s">
        <v>310</v>
      </c>
      <c r="B30" s="9">
        <v>8.9499999999999993</v>
      </c>
      <c r="C30" s="9">
        <v>8</v>
      </c>
      <c r="D30" s="9">
        <v>7.25</v>
      </c>
      <c r="E30" s="9">
        <v>3.09</v>
      </c>
      <c r="F30" s="67"/>
      <c r="G30" s="2"/>
      <c r="H30" s="2"/>
    </row>
    <row r="31" spans="1:8" x14ac:dyDescent="0.25">
      <c r="A31" s="60" t="s">
        <v>311</v>
      </c>
      <c r="B31" s="9">
        <v>4.3099999999999996</v>
      </c>
      <c r="C31" s="9">
        <v>2.34</v>
      </c>
      <c r="D31" s="9">
        <v>2.34</v>
      </c>
      <c r="E31" s="9">
        <v>6.07</v>
      </c>
      <c r="F31" s="67"/>
      <c r="G31" s="2"/>
      <c r="H31" s="2"/>
    </row>
    <row r="32" spans="1:8" x14ac:dyDescent="0.25">
      <c r="A32" s="60" t="s">
        <v>312</v>
      </c>
      <c r="B32" s="9">
        <v>4.09</v>
      </c>
      <c r="C32" s="9">
        <v>5.15</v>
      </c>
      <c r="D32" s="9">
        <v>9.7200000000000006</v>
      </c>
      <c r="E32" s="9">
        <v>6.2</v>
      </c>
      <c r="F32" s="67"/>
      <c r="G32" s="2"/>
      <c r="H32" s="2"/>
    </row>
    <row r="33" spans="1:8" x14ac:dyDescent="0.25">
      <c r="A33" s="60" t="s">
        <v>313</v>
      </c>
      <c r="B33" s="9">
        <v>1.73</v>
      </c>
      <c r="C33" s="9">
        <v>2.46</v>
      </c>
      <c r="D33" s="9">
        <v>4.71</v>
      </c>
      <c r="E33" s="9">
        <v>3.88</v>
      </c>
      <c r="F33" s="67"/>
      <c r="G33" s="2"/>
      <c r="H33" s="2"/>
    </row>
    <row r="34" spans="1:8" x14ac:dyDescent="0.25">
      <c r="A34" s="60" t="s">
        <v>314</v>
      </c>
      <c r="B34" s="9">
        <v>7.17</v>
      </c>
      <c r="C34" s="9">
        <v>4.9000000000000004</v>
      </c>
      <c r="D34" s="9">
        <v>8.3699999999999992</v>
      </c>
      <c r="E34" s="9">
        <v>7.99</v>
      </c>
      <c r="F34" s="67"/>
      <c r="G34" s="2"/>
      <c r="H34" s="2"/>
    </row>
    <row r="35" spans="1:8" x14ac:dyDescent="0.25">
      <c r="A35" s="60" t="s">
        <v>315</v>
      </c>
      <c r="B35" s="9">
        <v>6.42</v>
      </c>
      <c r="C35" s="9">
        <v>2.66</v>
      </c>
      <c r="D35" s="9">
        <v>7.4</v>
      </c>
      <c r="E35" s="9">
        <v>8.6199999999999992</v>
      </c>
      <c r="F35" s="67"/>
      <c r="G35" s="2"/>
      <c r="H35" s="2"/>
    </row>
    <row r="36" spans="1:8" x14ac:dyDescent="0.25">
      <c r="A36" s="60" t="s">
        <v>316</v>
      </c>
      <c r="B36" s="9">
        <v>8.65</v>
      </c>
      <c r="C36" s="9">
        <v>7.02</v>
      </c>
      <c r="D36" s="9">
        <v>3.19</v>
      </c>
      <c r="E36" s="9">
        <v>6.83</v>
      </c>
      <c r="F36" s="67"/>
      <c r="G36" s="2"/>
      <c r="H36" s="2"/>
    </row>
    <row r="37" spans="1:8" x14ac:dyDescent="0.25">
      <c r="A37" s="60" t="s">
        <v>317</v>
      </c>
      <c r="B37" s="9">
        <v>6.86</v>
      </c>
      <c r="C37" s="9">
        <v>3.25</v>
      </c>
      <c r="D37" s="9">
        <v>8.1300000000000008</v>
      </c>
      <c r="E37" s="9">
        <v>8.2799999999999994</v>
      </c>
      <c r="F37" s="67"/>
      <c r="G37" s="2"/>
      <c r="H37" s="2"/>
    </row>
    <row r="38" spans="1:8" x14ac:dyDescent="0.25">
      <c r="A38" s="60" t="s">
        <v>318</v>
      </c>
      <c r="B38" s="9">
        <v>9.27</v>
      </c>
      <c r="C38" s="9">
        <v>3.5</v>
      </c>
      <c r="D38" s="9">
        <v>5.07</v>
      </c>
      <c r="E38" s="9">
        <v>6.85</v>
      </c>
      <c r="F38" s="67"/>
      <c r="G38" s="2"/>
      <c r="H38" s="2"/>
    </row>
    <row r="39" spans="1:8" x14ac:dyDescent="0.25">
      <c r="A39" s="60" t="s">
        <v>319</v>
      </c>
      <c r="B39" s="9">
        <v>9.08</v>
      </c>
      <c r="C39" s="9">
        <v>5.52</v>
      </c>
      <c r="D39" s="9">
        <v>2.5299999999999998</v>
      </c>
      <c r="E39" s="9">
        <v>1.3</v>
      </c>
      <c r="F39" s="67"/>
      <c r="G39" s="2"/>
      <c r="H39" s="2"/>
    </row>
    <row r="40" spans="1:8" x14ac:dyDescent="0.25">
      <c r="A40" s="60" t="s">
        <v>320</v>
      </c>
      <c r="B40" s="9">
        <v>9.73</v>
      </c>
      <c r="C40" s="9">
        <v>4.01</v>
      </c>
      <c r="D40" s="9">
        <v>7.12</v>
      </c>
      <c r="E40" s="9">
        <v>6.82</v>
      </c>
      <c r="F40" s="67"/>
      <c r="G40" s="2"/>
      <c r="H40" s="2"/>
    </row>
    <row r="41" spans="1:8" x14ac:dyDescent="0.25">
      <c r="A41" s="60" t="s">
        <v>321</v>
      </c>
      <c r="B41" s="9">
        <v>4.4000000000000004</v>
      </c>
      <c r="C41" s="9">
        <v>8.25</v>
      </c>
      <c r="D41" s="9">
        <v>6.89</v>
      </c>
      <c r="E41" s="9">
        <v>8.4600000000000009</v>
      </c>
      <c r="F41" s="67"/>
      <c r="G41" s="2"/>
      <c r="H41" s="2"/>
    </row>
    <row r="42" spans="1:8" x14ac:dyDescent="0.25">
      <c r="A42" s="60" t="s">
        <v>322</v>
      </c>
      <c r="B42" s="9">
        <v>9.7799999999999994</v>
      </c>
      <c r="C42" s="9">
        <v>5.55</v>
      </c>
      <c r="D42" s="9">
        <v>4.87</v>
      </c>
      <c r="E42" s="9">
        <v>1.32</v>
      </c>
      <c r="F42" s="67"/>
      <c r="G42" s="2"/>
      <c r="H42" s="2"/>
    </row>
    <row r="43" spans="1:8" x14ac:dyDescent="0.25">
      <c r="A43" s="60" t="s">
        <v>323</v>
      </c>
      <c r="B43" s="9">
        <v>4.38</v>
      </c>
      <c r="C43" s="9">
        <v>2.75</v>
      </c>
      <c r="D43" s="9">
        <v>1.2</v>
      </c>
      <c r="E43" s="9">
        <v>5.0999999999999996</v>
      </c>
      <c r="F43" s="67"/>
      <c r="G43" s="2"/>
      <c r="H43" s="2"/>
    </row>
    <row r="44" spans="1:8" x14ac:dyDescent="0.25">
      <c r="A44" s="60" t="s">
        <v>324</v>
      </c>
      <c r="B44" s="9">
        <v>7.41</v>
      </c>
      <c r="C44" s="9">
        <v>8.14</v>
      </c>
      <c r="D44" s="9">
        <v>4.91</v>
      </c>
      <c r="E44" s="9">
        <v>7.86</v>
      </c>
      <c r="F44" s="67"/>
      <c r="G44" s="2"/>
      <c r="H44" s="2"/>
    </row>
    <row r="45" spans="1:8" x14ac:dyDescent="0.25">
      <c r="A45" s="60" t="s">
        <v>325</v>
      </c>
      <c r="B45" s="9">
        <v>6</v>
      </c>
      <c r="C45" s="9">
        <v>4.24</v>
      </c>
      <c r="D45" s="9">
        <v>5.57</v>
      </c>
      <c r="E45" s="9">
        <v>4.9000000000000004</v>
      </c>
      <c r="F45" s="67"/>
      <c r="G45" s="2"/>
      <c r="H45" s="2"/>
    </row>
    <row r="46" spans="1:8" x14ac:dyDescent="0.25">
      <c r="A46" s="60" t="s">
        <v>326</v>
      </c>
      <c r="B46" s="9">
        <v>3.21</v>
      </c>
      <c r="C46" s="9">
        <v>5.67</v>
      </c>
      <c r="D46" s="9">
        <v>2.31</v>
      </c>
      <c r="E46" s="9">
        <v>6.01</v>
      </c>
      <c r="F46" s="67"/>
      <c r="G46" s="2"/>
      <c r="H46" s="2"/>
    </row>
    <row r="47" spans="1:8" x14ac:dyDescent="0.25">
      <c r="A47" s="60" t="s">
        <v>327</v>
      </c>
      <c r="B47" s="9">
        <v>5.22</v>
      </c>
      <c r="C47" s="9">
        <v>5.2</v>
      </c>
      <c r="D47" s="9">
        <v>8.34</v>
      </c>
      <c r="E47" s="9">
        <v>8.8000000000000007</v>
      </c>
      <c r="F47" s="67"/>
      <c r="G47" s="2"/>
      <c r="H47" s="2"/>
    </row>
    <row r="48" spans="1:8" x14ac:dyDescent="0.25">
      <c r="A48" s="60" t="s">
        <v>328</v>
      </c>
      <c r="B48" s="9">
        <v>6.25</v>
      </c>
      <c r="C48" s="9">
        <v>4.5</v>
      </c>
      <c r="D48" s="9">
        <v>2.61</v>
      </c>
      <c r="E48" s="9">
        <v>2.27</v>
      </c>
      <c r="F48" s="67"/>
      <c r="G48" s="2"/>
      <c r="H48" s="2"/>
    </row>
    <row r="49" spans="1:8" x14ac:dyDescent="0.25">
      <c r="A49" s="60" t="s">
        <v>329</v>
      </c>
      <c r="B49" s="9">
        <v>5.28</v>
      </c>
      <c r="C49" s="9">
        <v>4.22</v>
      </c>
      <c r="D49" s="9">
        <v>6.18</v>
      </c>
      <c r="E49" s="9">
        <v>8.33</v>
      </c>
      <c r="F49" s="67"/>
      <c r="G49" s="2"/>
      <c r="H49" s="2"/>
    </row>
    <row r="50" spans="1:8" x14ac:dyDescent="0.25">
      <c r="A50" s="60" t="s">
        <v>330</v>
      </c>
      <c r="B50" s="9">
        <v>4.6900000000000004</v>
      </c>
      <c r="C50" s="9">
        <v>3.48</v>
      </c>
      <c r="D50" s="9">
        <v>3.58</v>
      </c>
      <c r="E50" s="9">
        <v>6.41</v>
      </c>
      <c r="F50" s="67"/>
      <c r="G50" s="2"/>
      <c r="H50" s="2"/>
    </row>
    <row r="51" spans="1:8" x14ac:dyDescent="0.25">
      <c r="A51" s="60" t="s">
        <v>331</v>
      </c>
      <c r="B51" s="9">
        <v>2.99</v>
      </c>
      <c r="C51" s="9">
        <v>3.36</v>
      </c>
      <c r="D51" s="9">
        <v>3.73</v>
      </c>
      <c r="E51" s="9">
        <v>2.67</v>
      </c>
      <c r="F51" s="67"/>
      <c r="G51" s="2"/>
      <c r="H51" s="2"/>
    </row>
    <row r="52" spans="1:8" x14ac:dyDescent="0.25">
      <c r="A52" s="60" t="s">
        <v>332</v>
      </c>
      <c r="B52" s="51">
        <v>6.3</v>
      </c>
      <c r="C52" s="51">
        <v>2.2999999999999998</v>
      </c>
      <c r="D52" s="52">
        <f>(B52*2+C52*3)/5</f>
        <v>3.9</v>
      </c>
      <c r="E52" s="9">
        <v>1.84</v>
      </c>
      <c r="F52" s="67"/>
    </row>
    <row r="53" spans="1:8" x14ac:dyDescent="0.25">
      <c r="A53" s="60" t="s">
        <v>333</v>
      </c>
      <c r="B53" s="51">
        <v>6.2</v>
      </c>
      <c r="C53" s="51">
        <v>2.6</v>
      </c>
      <c r="D53" s="52">
        <f t="shared" ref="D53:D101" si="0">(B53*2+C53*3)/5</f>
        <v>4.0400000000000009</v>
      </c>
      <c r="E53" s="9">
        <v>3.19</v>
      </c>
      <c r="F53" s="67"/>
    </row>
    <row r="54" spans="1:8" x14ac:dyDescent="0.25">
      <c r="A54" s="60" t="s">
        <v>334</v>
      </c>
      <c r="B54" s="51">
        <v>8.1</v>
      </c>
      <c r="C54" s="51">
        <v>6.9</v>
      </c>
      <c r="D54" s="52">
        <f t="shared" si="0"/>
        <v>7.3800000000000008</v>
      </c>
      <c r="E54" s="9">
        <v>4.25</v>
      </c>
      <c r="F54" s="67"/>
    </row>
    <row r="55" spans="1:8" x14ac:dyDescent="0.25">
      <c r="A55" s="60" t="s">
        <v>335</v>
      </c>
      <c r="B55" s="51">
        <v>3.9</v>
      </c>
      <c r="C55" s="51">
        <v>1.2</v>
      </c>
      <c r="D55" s="52">
        <f t="shared" si="0"/>
        <v>2.2799999999999998</v>
      </c>
      <c r="E55" s="9">
        <v>5.18</v>
      </c>
      <c r="F55" s="67"/>
    </row>
    <row r="56" spans="1:8" x14ac:dyDescent="0.25">
      <c r="A56" s="60" t="s">
        <v>336</v>
      </c>
      <c r="B56" s="51">
        <v>4</v>
      </c>
      <c r="C56" s="51">
        <v>5.2</v>
      </c>
      <c r="D56" s="52">
        <f t="shared" si="0"/>
        <v>4.7200000000000006</v>
      </c>
      <c r="E56" s="9">
        <v>6.79</v>
      </c>
      <c r="F56" s="67"/>
    </row>
    <row r="57" spans="1:8" x14ac:dyDescent="0.25">
      <c r="A57" s="60" t="s">
        <v>337</v>
      </c>
      <c r="B57" s="51">
        <v>8.3000000000000007</v>
      </c>
      <c r="C57" s="51">
        <v>8.1999999999999993</v>
      </c>
      <c r="D57" s="52">
        <f t="shared" si="0"/>
        <v>8.24</v>
      </c>
      <c r="E57" s="9">
        <v>6.19</v>
      </c>
      <c r="F57" s="67"/>
    </row>
    <row r="58" spans="1:8" x14ac:dyDescent="0.25">
      <c r="A58" s="60" t="s">
        <v>338</v>
      </c>
      <c r="B58" s="51">
        <v>3.6</v>
      </c>
      <c r="C58" s="51">
        <v>1</v>
      </c>
      <c r="D58" s="52">
        <f t="shared" si="0"/>
        <v>2.04</v>
      </c>
      <c r="E58" s="9">
        <v>6.82</v>
      </c>
      <c r="F58" s="67"/>
    </row>
    <row r="59" spans="1:8" x14ac:dyDescent="0.25">
      <c r="A59" s="60" t="s">
        <v>339</v>
      </c>
      <c r="B59" s="51">
        <v>1.8</v>
      </c>
      <c r="C59" s="51">
        <v>7.4</v>
      </c>
      <c r="D59" s="52">
        <f t="shared" si="0"/>
        <v>5.160000000000001</v>
      </c>
      <c r="E59" s="9">
        <v>8.2799999999999994</v>
      </c>
      <c r="F59" s="67"/>
    </row>
    <row r="60" spans="1:8" x14ac:dyDescent="0.25">
      <c r="A60" s="60" t="s">
        <v>340</v>
      </c>
      <c r="B60" s="51">
        <v>6.5</v>
      </c>
      <c r="C60" s="51">
        <v>3.5</v>
      </c>
      <c r="D60" s="52">
        <f t="shared" si="0"/>
        <v>4.7</v>
      </c>
      <c r="E60" s="9">
        <v>3.91</v>
      </c>
      <c r="F60" s="67"/>
    </row>
    <row r="61" spans="1:8" x14ac:dyDescent="0.25">
      <c r="A61" s="60" t="s">
        <v>341</v>
      </c>
      <c r="B61" s="51">
        <v>5</v>
      </c>
      <c r="C61" s="51">
        <v>2.7</v>
      </c>
      <c r="D61" s="52">
        <f t="shared" si="0"/>
        <v>3.62</v>
      </c>
      <c r="E61" s="9">
        <v>9.57</v>
      </c>
      <c r="F61" s="67"/>
    </row>
    <row r="62" spans="1:8" x14ac:dyDescent="0.25">
      <c r="A62" s="60" t="s">
        <v>342</v>
      </c>
      <c r="B62" s="51">
        <v>2.7</v>
      </c>
      <c r="C62" s="51">
        <v>8.6</v>
      </c>
      <c r="D62" s="52">
        <f t="shared" si="0"/>
        <v>6.2399999999999993</v>
      </c>
      <c r="E62" s="9">
        <v>5.31</v>
      </c>
      <c r="F62" s="67"/>
    </row>
    <row r="63" spans="1:8" x14ac:dyDescent="0.25">
      <c r="A63" s="60" t="s">
        <v>343</v>
      </c>
      <c r="B63" s="51">
        <v>2.2999999999999998</v>
      </c>
      <c r="C63" s="51">
        <v>6.7</v>
      </c>
      <c r="D63" s="52">
        <f t="shared" si="0"/>
        <v>4.9400000000000004</v>
      </c>
      <c r="E63" s="9">
        <v>9.44</v>
      </c>
      <c r="F63" s="67"/>
    </row>
    <row r="64" spans="1:8" x14ac:dyDescent="0.25">
      <c r="A64" s="60" t="s">
        <v>344</v>
      </c>
      <c r="B64" s="51">
        <v>3.1</v>
      </c>
      <c r="C64" s="51">
        <v>3.3</v>
      </c>
      <c r="D64" s="52">
        <f t="shared" si="0"/>
        <v>3.2199999999999998</v>
      </c>
      <c r="E64" s="9">
        <v>8.7899999999999991</v>
      </c>
      <c r="F64" s="67"/>
    </row>
    <row r="65" spans="1:6" x14ac:dyDescent="0.25">
      <c r="A65" s="60" t="s">
        <v>345</v>
      </c>
      <c r="B65" s="51">
        <v>4.8</v>
      </c>
      <c r="C65" s="51">
        <v>7.6</v>
      </c>
      <c r="D65" s="52">
        <f t="shared" si="0"/>
        <v>6.4799999999999995</v>
      </c>
      <c r="E65" s="9">
        <v>6.71</v>
      </c>
      <c r="F65" s="67"/>
    </row>
    <row r="66" spans="1:6" x14ac:dyDescent="0.25">
      <c r="A66" s="60" t="s">
        <v>346</v>
      </c>
      <c r="B66" s="51">
        <v>3.3</v>
      </c>
      <c r="C66" s="51">
        <v>1.1000000000000001</v>
      </c>
      <c r="D66" s="52">
        <f t="shared" si="0"/>
        <v>1.98</v>
      </c>
      <c r="E66" s="9">
        <v>7.99</v>
      </c>
      <c r="F66" s="67"/>
    </row>
    <row r="67" spans="1:6" x14ac:dyDescent="0.25">
      <c r="A67" s="60" t="s">
        <v>347</v>
      </c>
      <c r="B67" s="51">
        <v>5.8</v>
      </c>
      <c r="C67" s="51">
        <v>9.8000000000000007</v>
      </c>
      <c r="D67" s="52">
        <f t="shared" si="0"/>
        <v>8.1999999999999993</v>
      </c>
      <c r="E67" s="9">
        <v>9.4</v>
      </c>
      <c r="F67" s="67"/>
    </row>
    <row r="68" spans="1:6" x14ac:dyDescent="0.25">
      <c r="A68" s="60" t="s">
        <v>348</v>
      </c>
      <c r="B68" s="51">
        <v>1.6</v>
      </c>
      <c r="C68" s="51">
        <v>3.3</v>
      </c>
      <c r="D68" s="52">
        <f t="shared" si="0"/>
        <v>2.6199999999999997</v>
      </c>
      <c r="E68" s="9">
        <v>6.7</v>
      </c>
      <c r="F68" s="67"/>
    </row>
    <row r="69" spans="1:6" x14ac:dyDescent="0.25">
      <c r="A69" s="60" t="s">
        <v>349</v>
      </c>
      <c r="B69" s="51">
        <v>6.1</v>
      </c>
      <c r="C69" s="51">
        <v>4.8</v>
      </c>
      <c r="D69" s="52">
        <f t="shared" si="0"/>
        <v>5.3199999999999994</v>
      </c>
      <c r="E69" s="9">
        <v>9.16</v>
      </c>
      <c r="F69" s="67"/>
    </row>
    <row r="70" spans="1:6" x14ac:dyDescent="0.25">
      <c r="A70" s="60" t="s">
        <v>350</v>
      </c>
      <c r="B70" s="51">
        <v>3.8</v>
      </c>
      <c r="C70" s="51">
        <v>6.4</v>
      </c>
      <c r="D70" s="52">
        <f t="shared" si="0"/>
        <v>5.3600000000000012</v>
      </c>
      <c r="E70" s="9">
        <v>7.19</v>
      </c>
      <c r="F70" s="67"/>
    </row>
    <row r="71" spans="1:6" x14ac:dyDescent="0.25">
      <c r="A71" s="60" t="s">
        <v>351</v>
      </c>
      <c r="B71" s="51">
        <v>9.4</v>
      </c>
      <c r="C71" s="51">
        <v>4.9000000000000004</v>
      </c>
      <c r="D71" s="52">
        <f t="shared" si="0"/>
        <v>6.7</v>
      </c>
      <c r="E71" s="9">
        <v>5.25</v>
      </c>
      <c r="F71" s="67"/>
    </row>
    <row r="72" spans="1:6" x14ac:dyDescent="0.25">
      <c r="A72" s="60" t="s">
        <v>352</v>
      </c>
      <c r="B72" s="51">
        <v>2.8</v>
      </c>
      <c r="C72" s="51">
        <v>1.9</v>
      </c>
      <c r="D72" s="52">
        <f t="shared" si="0"/>
        <v>2.2599999999999998</v>
      </c>
      <c r="E72" s="9">
        <v>2.3199999999999998</v>
      </c>
      <c r="F72" s="67"/>
    </row>
    <row r="73" spans="1:6" x14ac:dyDescent="0.25">
      <c r="A73" s="60" t="s">
        <v>353</v>
      </c>
      <c r="B73" s="51">
        <v>9</v>
      </c>
      <c r="C73" s="51">
        <v>3.4</v>
      </c>
      <c r="D73" s="52">
        <f t="shared" si="0"/>
        <v>5.64</v>
      </c>
      <c r="E73" s="9">
        <v>2.86</v>
      </c>
      <c r="F73" s="67"/>
    </row>
    <row r="74" spans="1:6" x14ac:dyDescent="0.25">
      <c r="A74" s="60" t="s">
        <v>354</v>
      </c>
      <c r="B74" s="51">
        <v>2</v>
      </c>
      <c r="C74" s="51">
        <v>9.4</v>
      </c>
      <c r="D74" s="52">
        <f t="shared" si="0"/>
        <v>6.44</v>
      </c>
      <c r="E74" s="9">
        <v>8</v>
      </c>
      <c r="F74" s="67"/>
    </row>
    <row r="75" spans="1:6" x14ac:dyDescent="0.25">
      <c r="A75" s="60" t="s">
        <v>355</v>
      </c>
      <c r="B75" s="51">
        <v>4.3</v>
      </c>
      <c r="C75" s="51">
        <v>8.6</v>
      </c>
      <c r="D75" s="52">
        <f t="shared" si="0"/>
        <v>6.88</v>
      </c>
      <c r="E75" s="9">
        <v>2.34</v>
      </c>
      <c r="F75" s="67"/>
    </row>
    <row r="76" spans="1:6" x14ac:dyDescent="0.25">
      <c r="A76" s="60" t="s">
        <v>356</v>
      </c>
      <c r="B76" s="51">
        <v>6.6</v>
      </c>
      <c r="C76" s="51">
        <v>7.6</v>
      </c>
      <c r="D76" s="52">
        <f t="shared" si="0"/>
        <v>7.2</v>
      </c>
      <c r="E76" s="9">
        <v>5.15</v>
      </c>
      <c r="F76" s="67"/>
    </row>
    <row r="77" spans="1:6" x14ac:dyDescent="0.25">
      <c r="A77" s="60" t="s">
        <v>357</v>
      </c>
      <c r="B77" s="51">
        <v>6.4</v>
      </c>
      <c r="C77" s="51">
        <v>2.8</v>
      </c>
      <c r="D77" s="52">
        <f t="shared" si="0"/>
        <v>4.24</v>
      </c>
      <c r="E77" s="9">
        <v>2.46</v>
      </c>
      <c r="F77" s="67"/>
    </row>
    <row r="78" spans="1:6" x14ac:dyDescent="0.25">
      <c r="A78" s="60" t="s">
        <v>358</v>
      </c>
      <c r="B78" s="51">
        <v>8.4</v>
      </c>
      <c r="C78" s="51">
        <v>2</v>
      </c>
      <c r="D78" s="52">
        <f t="shared" si="0"/>
        <v>4.5600000000000005</v>
      </c>
      <c r="E78" s="9">
        <v>4.9000000000000004</v>
      </c>
      <c r="F78" s="67"/>
    </row>
    <row r="79" spans="1:6" x14ac:dyDescent="0.25">
      <c r="A79" s="60" t="s">
        <v>359</v>
      </c>
      <c r="B79" s="51">
        <v>3.9</v>
      </c>
      <c r="C79" s="51">
        <v>3.6</v>
      </c>
      <c r="D79" s="52">
        <f t="shared" si="0"/>
        <v>3.72</v>
      </c>
      <c r="E79" s="9">
        <v>2.66</v>
      </c>
      <c r="F79" s="67"/>
    </row>
    <row r="80" spans="1:6" x14ac:dyDescent="0.25">
      <c r="A80" s="60" t="s">
        <v>360</v>
      </c>
      <c r="B80" s="51">
        <v>3.3</v>
      </c>
      <c r="C80" s="51">
        <v>5.3</v>
      </c>
      <c r="D80" s="52">
        <f t="shared" si="0"/>
        <v>4.5</v>
      </c>
      <c r="E80" s="9">
        <v>7.02</v>
      </c>
      <c r="F80" s="67"/>
    </row>
    <row r="81" spans="1:6" x14ac:dyDescent="0.25">
      <c r="A81" s="60" t="s">
        <v>361</v>
      </c>
      <c r="B81" s="51">
        <v>9.6</v>
      </c>
      <c r="C81" s="51">
        <v>1.5</v>
      </c>
      <c r="D81" s="52">
        <f t="shared" si="0"/>
        <v>4.74</v>
      </c>
      <c r="E81" s="9">
        <v>3.25</v>
      </c>
      <c r="F81" s="67"/>
    </row>
    <row r="82" spans="1:6" x14ac:dyDescent="0.25">
      <c r="A82" s="60" t="s">
        <v>362</v>
      </c>
      <c r="B82" s="51">
        <v>5.5</v>
      </c>
      <c r="C82" s="51">
        <v>4.5</v>
      </c>
      <c r="D82" s="52">
        <f t="shared" si="0"/>
        <v>4.9000000000000004</v>
      </c>
      <c r="E82" s="9">
        <v>3.5</v>
      </c>
      <c r="F82" s="67"/>
    </row>
    <row r="83" spans="1:6" x14ac:dyDescent="0.25">
      <c r="A83" s="60" t="s">
        <v>363</v>
      </c>
      <c r="B83" s="51">
        <v>9.9</v>
      </c>
      <c r="C83" s="51">
        <v>3.5</v>
      </c>
      <c r="D83" s="52">
        <f t="shared" si="0"/>
        <v>6.0600000000000005</v>
      </c>
      <c r="E83" s="9">
        <v>5.52</v>
      </c>
      <c r="F83" s="67"/>
    </row>
    <row r="84" spans="1:6" x14ac:dyDescent="0.25">
      <c r="A84" s="60" t="s">
        <v>364</v>
      </c>
      <c r="B84" s="51">
        <v>7.2</v>
      </c>
      <c r="C84" s="51">
        <v>1.5</v>
      </c>
      <c r="D84" s="52">
        <f t="shared" si="0"/>
        <v>3.78</v>
      </c>
      <c r="E84" s="9">
        <v>4.01</v>
      </c>
      <c r="F84" s="67"/>
    </row>
    <row r="85" spans="1:6" x14ac:dyDescent="0.25">
      <c r="A85" s="60" t="s">
        <v>365</v>
      </c>
      <c r="B85" s="51">
        <v>9.6999999999999993</v>
      </c>
      <c r="C85" s="51">
        <v>2.8</v>
      </c>
      <c r="D85" s="52">
        <f t="shared" si="0"/>
        <v>5.56</v>
      </c>
      <c r="E85" s="9">
        <v>8.25</v>
      </c>
      <c r="F85" s="67"/>
    </row>
    <row r="86" spans="1:6" x14ac:dyDescent="0.25">
      <c r="A86" s="60" t="s">
        <v>366</v>
      </c>
      <c r="B86" s="51">
        <v>6.8</v>
      </c>
      <c r="C86" s="51">
        <v>4.8</v>
      </c>
      <c r="D86" s="52">
        <f t="shared" si="0"/>
        <v>5.6</v>
      </c>
      <c r="E86" s="9">
        <v>5.55</v>
      </c>
      <c r="F86" s="67"/>
    </row>
    <row r="87" spans="1:6" x14ac:dyDescent="0.25">
      <c r="A87" s="60" t="s">
        <v>367</v>
      </c>
      <c r="B87" s="51">
        <v>1.9</v>
      </c>
      <c r="C87" s="51">
        <v>5.5</v>
      </c>
      <c r="D87" s="52">
        <f t="shared" si="0"/>
        <v>4.0600000000000005</v>
      </c>
      <c r="E87" s="9">
        <v>2.75</v>
      </c>
      <c r="F87" s="67"/>
    </row>
    <row r="88" spans="1:6" x14ac:dyDescent="0.25">
      <c r="A88" s="60" t="s">
        <v>368</v>
      </c>
      <c r="B88" s="51">
        <v>8.5</v>
      </c>
      <c r="C88" s="51">
        <v>4.5</v>
      </c>
      <c r="D88" s="52">
        <f t="shared" si="0"/>
        <v>6.1</v>
      </c>
      <c r="E88" s="9">
        <v>8.14</v>
      </c>
      <c r="F88" s="67"/>
    </row>
    <row r="89" spans="1:6" x14ac:dyDescent="0.25">
      <c r="A89" s="60" t="s">
        <v>369</v>
      </c>
      <c r="B89" s="51">
        <v>8.9</v>
      </c>
      <c r="C89" s="51">
        <v>2.7</v>
      </c>
      <c r="D89" s="52">
        <f t="shared" si="0"/>
        <v>5.1800000000000006</v>
      </c>
      <c r="E89" s="9">
        <v>4.24</v>
      </c>
      <c r="F89" s="67"/>
    </row>
    <row r="90" spans="1:6" x14ac:dyDescent="0.25">
      <c r="A90" s="60" t="s">
        <v>370</v>
      </c>
      <c r="B90" s="51">
        <v>1.8</v>
      </c>
      <c r="C90" s="51">
        <v>5.8</v>
      </c>
      <c r="D90" s="52">
        <f t="shared" si="0"/>
        <v>4.2</v>
      </c>
      <c r="E90" s="9">
        <v>5.67</v>
      </c>
      <c r="F90" s="67"/>
    </row>
    <row r="91" spans="1:6" x14ac:dyDescent="0.25">
      <c r="A91" s="60" t="s">
        <v>371</v>
      </c>
      <c r="B91" s="51">
        <v>8</v>
      </c>
      <c r="C91" s="51">
        <v>5</v>
      </c>
      <c r="D91" s="52">
        <f t="shared" si="0"/>
        <v>6.2</v>
      </c>
      <c r="E91" s="9">
        <v>5.2</v>
      </c>
      <c r="F91" s="67"/>
    </row>
    <row r="92" spans="1:6" x14ac:dyDescent="0.25">
      <c r="A92" s="60" t="s">
        <v>372</v>
      </c>
      <c r="B92" s="51">
        <v>2.6</v>
      </c>
      <c r="C92" s="51">
        <v>8.6999999999999993</v>
      </c>
      <c r="D92" s="52">
        <f t="shared" si="0"/>
        <v>6.26</v>
      </c>
      <c r="E92" s="9">
        <v>4.5</v>
      </c>
      <c r="F92" s="67"/>
    </row>
    <row r="93" spans="1:6" x14ac:dyDescent="0.25">
      <c r="A93" s="60" t="s">
        <v>373</v>
      </c>
      <c r="B93" s="51">
        <v>5.3</v>
      </c>
      <c r="C93" s="51">
        <v>7.7</v>
      </c>
      <c r="D93" s="52">
        <f t="shared" si="0"/>
        <v>6.74</v>
      </c>
      <c r="E93" s="51">
        <v>2</v>
      </c>
      <c r="F93" s="67"/>
    </row>
    <row r="94" spans="1:6" x14ac:dyDescent="0.25">
      <c r="A94" s="60" t="s">
        <v>374</v>
      </c>
      <c r="B94" s="51">
        <v>1.3</v>
      </c>
      <c r="C94" s="51">
        <v>7</v>
      </c>
      <c r="D94" s="52">
        <f t="shared" si="0"/>
        <v>4.7200000000000006</v>
      </c>
      <c r="E94" s="51">
        <v>3.6</v>
      </c>
      <c r="F94" s="67"/>
    </row>
    <row r="95" spans="1:6" x14ac:dyDescent="0.25">
      <c r="A95" s="60" t="s">
        <v>375</v>
      </c>
      <c r="B95" s="51">
        <v>9.6999999999999993</v>
      </c>
      <c r="C95" s="51">
        <v>4.7</v>
      </c>
      <c r="D95" s="52">
        <f t="shared" si="0"/>
        <v>6.7</v>
      </c>
      <c r="E95" s="51">
        <v>5.3</v>
      </c>
      <c r="F95" s="67"/>
    </row>
    <row r="96" spans="1:6" x14ac:dyDescent="0.25">
      <c r="A96" s="60" t="s">
        <v>376</v>
      </c>
      <c r="B96" s="51">
        <v>9.6999999999999993</v>
      </c>
      <c r="C96" s="51">
        <v>5.4</v>
      </c>
      <c r="D96" s="52">
        <f t="shared" si="0"/>
        <v>7.12</v>
      </c>
      <c r="E96" s="51">
        <v>1.5</v>
      </c>
      <c r="F96" s="67"/>
    </row>
    <row r="97" spans="1:6" x14ac:dyDescent="0.25">
      <c r="A97" s="60" t="s">
        <v>377</v>
      </c>
      <c r="B97" s="51">
        <v>3.3</v>
      </c>
      <c r="C97" s="51">
        <v>5.7</v>
      </c>
      <c r="D97" s="52">
        <f t="shared" si="0"/>
        <v>4.74</v>
      </c>
      <c r="E97" s="51">
        <v>4.5</v>
      </c>
      <c r="F97" s="67"/>
    </row>
    <row r="98" spans="1:6" x14ac:dyDescent="0.25">
      <c r="A98" s="60" t="s">
        <v>378</v>
      </c>
      <c r="B98" s="51">
        <v>2.2000000000000002</v>
      </c>
      <c r="C98" s="51">
        <v>9.6</v>
      </c>
      <c r="D98" s="52">
        <f t="shared" si="0"/>
        <v>6.6399999999999988</v>
      </c>
      <c r="E98" s="51">
        <v>3.5</v>
      </c>
      <c r="F98" s="67"/>
    </row>
    <row r="99" spans="1:6" x14ac:dyDescent="0.25">
      <c r="A99" s="60" t="s">
        <v>379</v>
      </c>
      <c r="B99" s="51">
        <v>4.0999999999999996</v>
      </c>
      <c r="C99" s="51">
        <v>1.3</v>
      </c>
      <c r="D99" s="52">
        <f t="shared" si="0"/>
        <v>2.42</v>
      </c>
      <c r="E99" s="51">
        <v>1.5</v>
      </c>
      <c r="F99" s="67"/>
    </row>
    <row r="100" spans="1:6" x14ac:dyDescent="0.25">
      <c r="A100" s="60" t="s">
        <v>380</v>
      </c>
      <c r="B100" s="51">
        <v>9.9</v>
      </c>
      <c r="C100" s="51">
        <v>4.5</v>
      </c>
      <c r="D100" s="52">
        <f t="shared" si="0"/>
        <v>6.6599999999999993</v>
      </c>
      <c r="E100" s="51">
        <v>2.8</v>
      </c>
      <c r="F100" s="67"/>
    </row>
    <row r="101" spans="1:6" x14ac:dyDescent="0.25">
      <c r="A101" s="60" t="s">
        <v>381</v>
      </c>
      <c r="B101" s="51">
        <v>1.1000000000000001</v>
      </c>
      <c r="C101" s="51">
        <v>2.8</v>
      </c>
      <c r="D101" s="52">
        <f t="shared" si="0"/>
        <v>2.1199999999999997</v>
      </c>
      <c r="E101" s="51">
        <v>2.8</v>
      </c>
      <c r="F101" s="6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7BF6-02B9-46B3-9BA1-9D092930E38E}">
  <dimension ref="A1:F80"/>
  <sheetViews>
    <sheetView showGridLines="0" workbookViewId="0">
      <selection activeCell="K14" sqref="K14"/>
    </sheetView>
  </sheetViews>
  <sheetFormatPr defaultRowHeight="14.25" x14ac:dyDescent="0.2"/>
  <cols>
    <col min="1" max="1" width="13.28515625" style="59" bestFit="1" customWidth="1"/>
    <col min="2" max="2" width="18.42578125" style="59" bestFit="1" customWidth="1"/>
    <col min="3" max="3" width="15.140625" style="54" bestFit="1" customWidth="1"/>
    <col min="4" max="4" width="18" style="59" customWidth="1"/>
    <col min="5" max="5" width="20" style="59" customWidth="1"/>
    <col min="6" max="6" width="19.7109375" style="59" customWidth="1"/>
    <col min="7" max="7" width="13.85546875" style="54" bestFit="1" customWidth="1"/>
    <col min="8" max="16384" width="9.140625" style="54"/>
  </cols>
  <sheetData>
    <row r="1" spans="1:6" s="55" customFormat="1" ht="30" x14ac:dyDescent="0.25">
      <c r="A1" s="53" t="s">
        <v>284</v>
      </c>
      <c r="B1" s="53" t="s">
        <v>283</v>
      </c>
      <c r="C1" s="53" t="s">
        <v>78</v>
      </c>
      <c r="D1" s="53" t="s">
        <v>201</v>
      </c>
      <c r="E1" s="68" t="s">
        <v>402</v>
      </c>
      <c r="F1" s="53" t="s">
        <v>205</v>
      </c>
    </row>
    <row r="2" spans="1:6" ht="15" x14ac:dyDescent="0.25">
      <c r="A2" s="56" t="s">
        <v>79</v>
      </c>
      <c r="B2" s="63">
        <v>45821</v>
      </c>
      <c r="C2" s="57">
        <v>117839.65054999999</v>
      </c>
      <c r="D2" s="56"/>
      <c r="E2" s="56"/>
      <c r="F2" s="56"/>
    </row>
    <row r="3" spans="1:6" ht="15" x14ac:dyDescent="0.25">
      <c r="A3" s="56" t="s">
        <v>80</v>
      </c>
      <c r="B3" s="63">
        <v>45789</v>
      </c>
      <c r="C3" s="57">
        <v>41842.998959999997</v>
      </c>
      <c r="D3" s="56"/>
      <c r="E3" s="56"/>
      <c r="F3" s="56"/>
    </row>
    <row r="4" spans="1:6" ht="15" x14ac:dyDescent="0.25">
      <c r="A4" s="56" t="s">
        <v>81</v>
      </c>
      <c r="B4" s="63">
        <v>45844</v>
      </c>
      <c r="C4" s="57">
        <v>1189.529644</v>
      </c>
      <c r="D4" s="56"/>
      <c r="E4" s="56"/>
      <c r="F4" s="56"/>
    </row>
    <row r="5" spans="1:6" ht="15" x14ac:dyDescent="0.25">
      <c r="A5" s="56" t="s">
        <v>82</v>
      </c>
      <c r="B5" s="63">
        <v>45809</v>
      </c>
      <c r="C5" s="57">
        <v>48147.435666000005</v>
      </c>
      <c r="D5" s="56"/>
      <c r="E5" s="56"/>
      <c r="F5" s="56"/>
    </row>
    <row r="6" spans="1:6" ht="15" x14ac:dyDescent="0.25">
      <c r="A6" s="56" t="s">
        <v>83</v>
      </c>
      <c r="B6" s="63">
        <v>45770</v>
      </c>
      <c r="C6" s="57">
        <v>33538.293701999995</v>
      </c>
      <c r="D6" s="56"/>
      <c r="E6" s="56"/>
      <c r="F6" s="56"/>
    </row>
    <row r="7" spans="1:6" ht="15" x14ac:dyDescent="0.25">
      <c r="A7" s="56" t="s">
        <v>84</v>
      </c>
      <c r="B7" s="63">
        <v>45747</v>
      </c>
      <c r="C7" s="57">
        <v>87788.977499999979</v>
      </c>
      <c r="D7" s="56"/>
      <c r="E7" s="56"/>
      <c r="F7" s="56"/>
    </row>
    <row r="8" spans="1:6" ht="15" x14ac:dyDescent="0.25">
      <c r="A8" s="56" t="s">
        <v>85</v>
      </c>
      <c r="B8" s="63">
        <v>45927</v>
      </c>
      <c r="C8" s="57">
        <v>289540.80909999995</v>
      </c>
      <c r="D8" s="56"/>
      <c r="E8" s="56"/>
      <c r="F8" s="56"/>
    </row>
    <row r="9" spans="1:6" ht="15" x14ac:dyDescent="0.25">
      <c r="A9" s="56" t="s">
        <v>86</v>
      </c>
      <c r="B9" s="63">
        <v>45871</v>
      </c>
      <c r="C9" s="57">
        <v>47380.173203999992</v>
      </c>
      <c r="D9" s="56"/>
      <c r="E9" s="56"/>
      <c r="F9" s="56"/>
    </row>
    <row r="10" spans="1:6" ht="15" x14ac:dyDescent="0.25">
      <c r="A10" s="56" t="s">
        <v>87</v>
      </c>
      <c r="B10" s="63">
        <v>45763</v>
      </c>
      <c r="C10" s="57">
        <v>281343.65083999996</v>
      </c>
      <c r="D10" s="56"/>
      <c r="E10" s="56"/>
      <c r="F10" s="56"/>
    </row>
    <row r="11" spans="1:6" ht="15" x14ac:dyDescent="0.25">
      <c r="A11" s="56" t="s">
        <v>88</v>
      </c>
      <c r="B11" s="63">
        <v>45772</v>
      </c>
      <c r="C11" s="57">
        <v>110727.64326000001</v>
      </c>
      <c r="D11" s="56"/>
      <c r="E11" s="56"/>
      <c r="F11" s="56"/>
    </row>
    <row r="12" spans="1:6" ht="15" x14ac:dyDescent="0.25">
      <c r="A12" s="56" t="s">
        <v>89</v>
      </c>
      <c r="B12" s="63">
        <v>45763</v>
      </c>
      <c r="C12" s="57">
        <v>60631.688333999999</v>
      </c>
      <c r="D12" s="56"/>
      <c r="E12" s="56"/>
      <c r="F12" s="56"/>
    </row>
    <row r="13" spans="1:6" ht="15" x14ac:dyDescent="0.25">
      <c r="A13" s="56" t="s">
        <v>90</v>
      </c>
      <c r="B13" s="63">
        <v>45945</v>
      </c>
      <c r="C13" s="57">
        <v>17634.891383999995</v>
      </c>
      <c r="D13" s="56"/>
      <c r="E13" s="56"/>
      <c r="F13" s="56"/>
    </row>
    <row r="14" spans="1:6" ht="15" x14ac:dyDescent="0.25">
      <c r="A14" s="56" t="s">
        <v>91</v>
      </c>
      <c r="B14" s="63">
        <v>45729</v>
      </c>
      <c r="C14" s="57">
        <v>56507.938630000004</v>
      </c>
      <c r="D14" s="56"/>
      <c r="E14" s="56"/>
      <c r="F14" s="56"/>
    </row>
    <row r="15" spans="1:6" ht="15" x14ac:dyDescent="0.25">
      <c r="A15" s="56" t="s">
        <v>92</v>
      </c>
      <c r="B15" s="63">
        <v>45720</v>
      </c>
      <c r="C15" s="57">
        <v>176736.15343999999</v>
      </c>
      <c r="D15" s="56"/>
      <c r="E15" s="56"/>
      <c r="F15" s="56"/>
    </row>
    <row r="16" spans="1:6" ht="15" x14ac:dyDescent="0.25">
      <c r="A16" s="56" t="s">
        <v>93</v>
      </c>
      <c r="B16" s="63">
        <v>45859</v>
      </c>
      <c r="C16" s="57">
        <v>202531.94337599998</v>
      </c>
      <c r="D16" s="56"/>
      <c r="E16" s="56"/>
      <c r="F16" s="56"/>
    </row>
    <row r="17" spans="1:6" ht="15" x14ac:dyDescent="0.25">
      <c r="A17" s="56" t="s">
        <v>94</v>
      </c>
      <c r="B17" s="63">
        <v>45928</v>
      </c>
      <c r="C17" s="57">
        <v>48959.494708999991</v>
      </c>
      <c r="D17" s="56"/>
      <c r="E17" s="56"/>
      <c r="F17" s="56"/>
    </row>
    <row r="18" spans="1:6" ht="15" x14ac:dyDescent="0.25">
      <c r="A18" s="56" t="s">
        <v>95</v>
      </c>
      <c r="B18" s="63">
        <v>45766</v>
      </c>
      <c r="C18" s="57">
        <v>60387.111322999997</v>
      </c>
      <c r="D18" s="56"/>
      <c r="E18" s="56"/>
      <c r="F18" s="56"/>
    </row>
    <row r="19" spans="1:6" ht="15" x14ac:dyDescent="0.25">
      <c r="A19" s="56" t="s">
        <v>96</v>
      </c>
      <c r="B19" s="63">
        <v>45806</v>
      </c>
      <c r="C19" s="57">
        <v>188233.29716399999</v>
      </c>
      <c r="D19" s="56"/>
      <c r="E19" s="56"/>
      <c r="F19" s="56"/>
    </row>
    <row r="20" spans="1:6" ht="15" x14ac:dyDescent="0.25">
      <c r="A20" s="56" t="s">
        <v>97</v>
      </c>
      <c r="B20" s="63">
        <v>45938</v>
      </c>
      <c r="C20" s="57">
        <v>102483.31217599999</v>
      </c>
      <c r="D20" s="56"/>
      <c r="E20" s="56"/>
      <c r="F20" s="56"/>
    </row>
    <row r="21" spans="1:6" ht="15" x14ac:dyDescent="0.25">
      <c r="A21" s="56" t="s">
        <v>98</v>
      </c>
      <c r="B21" s="63">
        <v>45742</v>
      </c>
      <c r="C21" s="57">
        <v>8936.6978870000003</v>
      </c>
      <c r="D21" s="56"/>
      <c r="E21" s="56"/>
      <c r="F21" s="56"/>
    </row>
    <row r="22" spans="1:6" ht="15" x14ac:dyDescent="0.25">
      <c r="A22" s="56" t="s">
        <v>99</v>
      </c>
      <c r="B22" s="63">
        <v>45914</v>
      </c>
      <c r="C22" s="57">
        <v>277378.84538999997</v>
      </c>
      <c r="D22" s="56"/>
      <c r="E22" s="56"/>
      <c r="F22" s="56"/>
    </row>
    <row r="23" spans="1:6" ht="15" x14ac:dyDescent="0.25">
      <c r="A23" s="56" t="s">
        <v>100</v>
      </c>
      <c r="B23" s="63">
        <v>45877</v>
      </c>
      <c r="C23" s="57">
        <v>209929.97991599998</v>
      </c>
      <c r="D23" s="56"/>
      <c r="E23" s="56"/>
      <c r="F23" s="56"/>
    </row>
    <row r="24" spans="1:6" ht="15" x14ac:dyDescent="0.25">
      <c r="A24" s="56" t="s">
        <v>101</v>
      </c>
      <c r="B24" s="63">
        <v>45927</v>
      </c>
      <c r="C24" s="57">
        <v>104910.95243199999</v>
      </c>
      <c r="D24" s="56"/>
      <c r="E24" s="56"/>
      <c r="F24" s="56"/>
    </row>
    <row r="25" spans="1:6" ht="15" x14ac:dyDescent="0.25">
      <c r="A25" s="56" t="s">
        <v>102</v>
      </c>
      <c r="B25" s="63">
        <v>45877</v>
      </c>
      <c r="C25" s="57">
        <v>117051.97</v>
      </c>
      <c r="D25" s="56"/>
      <c r="E25" s="56"/>
      <c r="F25" s="56"/>
    </row>
    <row r="26" spans="1:6" ht="15" x14ac:dyDescent="0.25">
      <c r="A26" s="56" t="s">
        <v>103</v>
      </c>
      <c r="B26" s="63">
        <v>45798</v>
      </c>
      <c r="C26" s="57">
        <v>49526.624705000002</v>
      </c>
      <c r="D26" s="56"/>
      <c r="E26" s="56"/>
      <c r="F26" s="56"/>
    </row>
    <row r="27" spans="1:6" s="58" customFormat="1" ht="15" x14ac:dyDescent="0.25">
      <c r="A27" s="56" t="s">
        <v>104</v>
      </c>
      <c r="B27" s="63">
        <v>45945</v>
      </c>
      <c r="C27" s="57">
        <v>191863.66841399999</v>
      </c>
      <c r="D27" s="56"/>
      <c r="E27" s="56"/>
      <c r="F27" s="56"/>
    </row>
    <row r="28" spans="1:6" s="58" customFormat="1" ht="15" x14ac:dyDescent="0.25">
      <c r="A28" s="56" t="s">
        <v>105</v>
      </c>
      <c r="B28" s="63">
        <v>45818</v>
      </c>
      <c r="C28" s="57">
        <v>67538.986689999991</v>
      </c>
      <c r="D28" s="56"/>
      <c r="E28" s="56"/>
      <c r="F28" s="56"/>
    </row>
    <row r="29" spans="1:6" s="58" customFormat="1" ht="15" x14ac:dyDescent="0.25">
      <c r="A29" s="56" t="s">
        <v>106</v>
      </c>
      <c r="B29" s="63">
        <v>45876</v>
      </c>
      <c r="C29" s="57">
        <v>259750.02662699998</v>
      </c>
      <c r="D29" s="56"/>
      <c r="E29" s="56"/>
      <c r="F29" s="56"/>
    </row>
    <row r="30" spans="1:6" s="58" customFormat="1" ht="15" x14ac:dyDescent="0.25">
      <c r="A30" s="56" t="s">
        <v>107</v>
      </c>
      <c r="B30" s="63">
        <v>45892</v>
      </c>
      <c r="C30" s="57">
        <v>196280.31206999999</v>
      </c>
      <c r="D30" s="56"/>
      <c r="E30" s="56"/>
      <c r="F30" s="56"/>
    </row>
    <row r="31" spans="1:6" s="58" customFormat="1" ht="15" x14ac:dyDescent="0.25">
      <c r="A31" s="56" t="s">
        <v>108</v>
      </c>
      <c r="B31" s="63">
        <v>45764</v>
      </c>
      <c r="C31" s="57">
        <v>336843.44637499994</v>
      </c>
      <c r="D31" s="56"/>
      <c r="E31" s="56"/>
      <c r="F31" s="56"/>
    </row>
    <row r="32" spans="1:6" s="58" customFormat="1" ht="15" x14ac:dyDescent="0.25">
      <c r="A32" s="56" t="s">
        <v>109</v>
      </c>
      <c r="B32" s="63">
        <v>45786</v>
      </c>
      <c r="C32" s="57">
        <v>114813.19705800001</v>
      </c>
      <c r="D32" s="56"/>
      <c r="E32" s="56"/>
      <c r="F32" s="56"/>
    </row>
    <row r="33" spans="1:6" s="58" customFormat="1" ht="15" x14ac:dyDescent="0.25">
      <c r="A33" s="56" t="s">
        <v>110</v>
      </c>
      <c r="B33" s="63">
        <v>45871</v>
      </c>
      <c r="C33" s="57">
        <v>15739.529559999999</v>
      </c>
      <c r="D33" s="56"/>
      <c r="E33" s="56"/>
      <c r="F33" s="56"/>
    </row>
    <row r="34" spans="1:6" s="58" customFormat="1" ht="15" x14ac:dyDescent="0.25">
      <c r="A34" s="56" t="s">
        <v>111</v>
      </c>
      <c r="B34" s="63">
        <v>45716</v>
      </c>
      <c r="C34" s="57">
        <v>160190.46143999998</v>
      </c>
      <c r="D34" s="56"/>
      <c r="E34" s="56"/>
      <c r="F34" s="56"/>
    </row>
    <row r="35" spans="1:6" s="58" customFormat="1" ht="15" x14ac:dyDescent="0.25">
      <c r="A35" s="56" t="s">
        <v>112</v>
      </c>
      <c r="B35" s="63">
        <v>45771</v>
      </c>
      <c r="C35" s="57">
        <v>21883.701877</v>
      </c>
      <c r="D35" s="56"/>
      <c r="E35" s="56"/>
      <c r="F35" s="56"/>
    </row>
    <row r="36" spans="1:6" s="58" customFormat="1" ht="15" x14ac:dyDescent="0.25">
      <c r="A36" s="56" t="s">
        <v>113</v>
      </c>
      <c r="B36" s="63">
        <v>45954</v>
      </c>
      <c r="C36" s="57">
        <v>33523.772216999998</v>
      </c>
      <c r="D36" s="56"/>
      <c r="E36" s="56"/>
      <c r="F36" s="56"/>
    </row>
    <row r="37" spans="1:6" s="58" customFormat="1" ht="15" x14ac:dyDescent="0.25">
      <c r="A37" s="56" t="s">
        <v>114</v>
      </c>
      <c r="B37" s="63">
        <v>45912</v>
      </c>
      <c r="C37" s="57">
        <v>183671.70268499997</v>
      </c>
      <c r="D37" s="56"/>
      <c r="E37" s="56"/>
      <c r="F37" s="56"/>
    </row>
    <row r="38" spans="1:6" s="58" customFormat="1" ht="15" x14ac:dyDescent="0.25">
      <c r="A38" s="56" t="s">
        <v>115</v>
      </c>
      <c r="B38" s="63">
        <v>45792</v>
      </c>
      <c r="C38" s="57">
        <v>99281.016701999994</v>
      </c>
      <c r="D38" s="56"/>
      <c r="E38" s="56"/>
      <c r="F38" s="56"/>
    </row>
    <row r="39" spans="1:6" s="58" customFormat="1" ht="15" x14ac:dyDescent="0.25">
      <c r="A39" s="56" t="s">
        <v>116</v>
      </c>
      <c r="B39" s="63">
        <v>45952</v>
      </c>
      <c r="C39" s="57">
        <v>65432.051229999983</v>
      </c>
      <c r="D39" s="56"/>
      <c r="E39" s="56"/>
      <c r="F39" s="56"/>
    </row>
    <row r="40" spans="1:6" s="58" customFormat="1" ht="15" x14ac:dyDescent="0.25">
      <c r="A40" s="56" t="s">
        <v>117</v>
      </c>
      <c r="B40" s="63">
        <v>45699</v>
      </c>
      <c r="C40" s="57">
        <v>82513.718039999992</v>
      </c>
      <c r="D40" s="56"/>
      <c r="E40" s="56"/>
      <c r="F40" s="56"/>
    </row>
    <row r="41" spans="1:6" s="58" customFormat="1" ht="15" x14ac:dyDescent="0.25">
      <c r="A41" s="56" t="s">
        <v>118</v>
      </c>
      <c r="B41" s="63">
        <v>45757</v>
      </c>
      <c r="C41" s="57">
        <v>186498.81579199998</v>
      </c>
      <c r="D41" s="56"/>
      <c r="E41" s="56"/>
      <c r="F41" s="56"/>
    </row>
    <row r="42" spans="1:6" s="58" customFormat="1" ht="15" x14ac:dyDescent="0.25">
      <c r="A42" s="56" t="s">
        <v>119</v>
      </c>
      <c r="B42" s="63">
        <v>45853</v>
      </c>
      <c r="C42" s="57">
        <v>24696.20549</v>
      </c>
      <c r="D42" s="56"/>
      <c r="E42" s="56"/>
      <c r="F42" s="56"/>
    </row>
    <row r="43" spans="1:6" ht="15" x14ac:dyDescent="0.25">
      <c r="A43" s="56" t="s">
        <v>120</v>
      </c>
      <c r="B43" s="63">
        <v>45923</v>
      </c>
      <c r="C43" s="57">
        <v>106441.78097799998</v>
      </c>
      <c r="D43" s="56"/>
      <c r="E43" s="56"/>
      <c r="F43" s="56"/>
    </row>
    <row r="44" spans="1:6" ht="15" x14ac:dyDescent="0.25">
      <c r="A44" s="56" t="s">
        <v>121</v>
      </c>
      <c r="B44" s="63">
        <v>45682</v>
      </c>
      <c r="C44" s="57">
        <v>131315.58863000001</v>
      </c>
      <c r="D44" s="56"/>
      <c r="E44" s="56"/>
      <c r="F44" s="56"/>
    </row>
    <row r="45" spans="1:6" ht="15" x14ac:dyDescent="0.25">
      <c r="A45" s="56" t="s">
        <v>122</v>
      </c>
      <c r="B45" s="63">
        <v>45786</v>
      </c>
      <c r="C45" s="57">
        <v>149576.40002199999</v>
      </c>
      <c r="D45" s="56"/>
      <c r="E45" s="56"/>
      <c r="F45" s="56"/>
    </row>
    <row r="46" spans="1:6" ht="15" x14ac:dyDescent="0.25">
      <c r="A46" s="56" t="s">
        <v>123</v>
      </c>
      <c r="B46" s="63">
        <v>45661</v>
      </c>
      <c r="C46" s="57">
        <v>155246.29183799998</v>
      </c>
      <c r="D46" s="56"/>
      <c r="E46" s="56"/>
      <c r="F46" s="56"/>
    </row>
    <row r="47" spans="1:6" ht="15" x14ac:dyDescent="0.25">
      <c r="A47" s="56" t="s">
        <v>124</v>
      </c>
      <c r="B47" s="63">
        <v>45845</v>
      </c>
      <c r="C47" s="57">
        <v>86457.929383999988</v>
      </c>
      <c r="D47" s="56"/>
      <c r="E47" s="56"/>
      <c r="F47" s="56"/>
    </row>
    <row r="48" spans="1:6" ht="15" x14ac:dyDescent="0.25">
      <c r="A48" s="56" t="s">
        <v>125</v>
      </c>
      <c r="B48" s="63">
        <v>45963</v>
      </c>
      <c r="C48" s="57">
        <v>84283.667038999993</v>
      </c>
      <c r="D48" s="56"/>
      <c r="E48" s="56"/>
      <c r="F48" s="56"/>
    </row>
    <row r="49" spans="1:6" ht="15" x14ac:dyDescent="0.25">
      <c r="A49" s="56" t="s">
        <v>126</v>
      </c>
      <c r="B49" s="63">
        <v>45825</v>
      </c>
      <c r="C49" s="57">
        <v>219378.27412000002</v>
      </c>
      <c r="D49" s="56"/>
      <c r="E49" s="56"/>
      <c r="F49" s="56"/>
    </row>
    <row r="50" spans="1:6" ht="15" x14ac:dyDescent="0.25">
      <c r="A50" s="56" t="s">
        <v>127</v>
      </c>
      <c r="B50" s="63">
        <v>45931</v>
      </c>
      <c r="C50" s="57">
        <v>23261.306753999997</v>
      </c>
      <c r="D50" s="56"/>
      <c r="E50" s="56"/>
      <c r="F50" s="56"/>
    </row>
    <row r="51" spans="1:6" ht="15" x14ac:dyDescent="0.25">
      <c r="A51" s="56" t="s">
        <v>128</v>
      </c>
      <c r="B51" s="63">
        <v>45711</v>
      </c>
      <c r="C51" s="57">
        <v>404137.32799999998</v>
      </c>
      <c r="D51" s="56"/>
      <c r="E51" s="56"/>
      <c r="F51" s="56"/>
    </row>
    <row r="52" spans="1:6" ht="15" x14ac:dyDescent="0.25">
      <c r="A52" s="56" t="s">
        <v>129</v>
      </c>
      <c r="B52" s="63">
        <v>45934</v>
      </c>
      <c r="C52" s="57">
        <v>177424.99988300001</v>
      </c>
      <c r="D52" s="56"/>
      <c r="E52" s="56"/>
      <c r="F52" s="56"/>
    </row>
    <row r="53" spans="1:6" ht="15" x14ac:dyDescent="0.25">
      <c r="A53" s="56" t="s">
        <v>130</v>
      </c>
      <c r="B53" s="63">
        <v>45775</v>
      </c>
      <c r="C53" s="57">
        <v>103502.45639599998</v>
      </c>
      <c r="D53" s="56"/>
      <c r="E53" s="56"/>
      <c r="F53" s="56"/>
    </row>
    <row r="54" spans="1:6" ht="15" x14ac:dyDescent="0.25">
      <c r="A54" s="56" t="s">
        <v>131</v>
      </c>
      <c r="B54" s="63">
        <v>45922</v>
      </c>
      <c r="C54" s="57">
        <v>64084.633439999991</v>
      </c>
      <c r="D54" s="56"/>
      <c r="E54" s="56"/>
      <c r="F54" s="56"/>
    </row>
    <row r="55" spans="1:6" ht="15" x14ac:dyDescent="0.25">
      <c r="A55" s="56" t="s">
        <v>132</v>
      </c>
      <c r="B55" s="63">
        <v>45805</v>
      </c>
      <c r="C55" s="57">
        <v>131582.60793599999</v>
      </c>
      <c r="D55" s="56"/>
      <c r="E55" s="56"/>
      <c r="F55" s="56"/>
    </row>
    <row r="56" spans="1:6" ht="15" x14ac:dyDescent="0.25">
      <c r="A56" s="56" t="s">
        <v>133</v>
      </c>
      <c r="B56" s="63">
        <v>45741</v>
      </c>
      <c r="C56" s="57">
        <v>210708.85956599997</v>
      </c>
      <c r="D56" s="56"/>
      <c r="E56" s="56"/>
      <c r="F56" s="56"/>
    </row>
    <row r="57" spans="1:6" ht="15" x14ac:dyDescent="0.25">
      <c r="A57" s="56" t="s">
        <v>134</v>
      </c>
      <c r="B57" s="63">
        <v>45694</v>
      </c>
      <c r="C57" s="57">
        <v>93243.775319999986</v>
      </c>
      <c r="D57" s="56"/>
      <c r="E57" s="56"/>
      <c r="F57" s="56"/>
    </row>
    <row r="58" spans="1:6" ht="15" x14ac:dyDescent="0.25">
      <c r="A58" s="56" t="s">
        <v>135</v>
      </c>
      <c r="B58" s="63">
        <v>45885</v>
      </c>
      <c r="C58" s="57">
        <v>73996.999100999994</v>
      </c>
      <c r="D58" s="56"/>
      <c r="E58" s="56"/>
      <c r="F58" s="56"/>
    </row>
    <row r="59" spans="1:6" ht="15" x14ac:dyDescent="0.25">
      <c r="A59" s="56" t="s">
        <v>136</v>
      </c>
      <c r="B59" s="63">
        <v>45715</v>
      </c>
      <c r="C59" s="57">
        <v>4021.3952370000002</v>
      </c>
      <c r="D59" s="56"/>
      <c r="E59" s="56"/>
      <c r="F59" s="56"/>
    </row>
    <row r="60" spans="1:6" ht="15" x14ac:dyDescent="0.25">
      <c r="A60" s="56" t="s">
        <v>137</v>
      </c>
      <c r="B60" s="63">
        <v>45743</v>
      </c>
      <c r="C60" s="57">
        <v>20404.710632000002</v>
      </c>
      <c r="D60" s="56"/>
      <c r="E60" s="56"/>
      <c r="F60" s="56"/>
    </row>
    <row r="61" spans="1:6" ht="15" x14ac:dyDescent="0.25">
      <c r="A61" s="56" t="s">
        <v>138</v>
      </c>
      <c r="B61" s="63">
        <v>45720</v>
      </c>
      <c r="C61" s="57">
        <v>3509.0948480000002</v>
      </c>
      <c r="D61" s="56"/>
      <c r="E61" s="56"/>
      <c r="F61" s="56"/>
    </row>
    <row r="62" spans="1:6" ht="15" x14ac:dyDescent="0.25">
      <c r="A62" s="56" t="s">
        <v>139</v>
      </c>
      <c r="B62" s="63">
        <v>45919</v>
      </c>
      <c r="C62" s="57">
        <v>35568.397304999999</v>
      </c>
      <c r="D62" s="56"/>
      <c r="E62" s="56"/>
      <c r="F62" s="56"/>
    </row>
    <row r="63" spans="1:6" ht="15" x14ac:dyDescent="0.25">
      <c r="A63" s="56" t="s">
        <v>140</v>
      </c>
      <c r="B63" s="63">
        <v>45717</v>
      </c>
      <c r="C63" s="57">
        <v>65875.264553999994</v>
      </c>
      <c r="D63" s="56"/>
      <c r="E63" s="56"/>
      <c r="F63" s="56"/>
    </row>
    <row r="64" spans="1:6" ht="15" x14ac:dyDescent="0.25">
      <c r="A64" s="56" t="s">
        <v>141</v>
      </c>
      <c r="B64" s="63">
        <v>45900</v>
      </c>
      <c r="C64" s="57">
        <v>221781.79991</v>
      </c>
      <c r="D64" s="56"/>
      <c r="E64" s="56"/>
      <c r="F64" s="56"/>
    </row>
    <row r="65" spans="1:6" ht="15" x14ac:dyDescent="0.25">
      <c r="A65" s="56" t="s">
        <v>142</v>
      </c>
      <c r="B65" s="63">
        <v>45832</v>
      </c>
      <c r="C65" s="57">
        <v>337054.051912</v>
      </c>
      <c r="D65" s="56"/>
      <c r="E65" s="56"/>
      <c r="F65" s="56"/>
    </row>
    <row r="66" spans="1:6" ht="15" x14ac:dyDescent="0.25">
      <c r="A66" s="56" t="s">
        <v>143</v>
      </c>
      <c r="B66" s="63">
        <v>45923</v>
      </c>
      <c r="C66" s="57">
        <v>37117.179687000003</v>
      </c>
      <c r="D66" s="56"/>
      <c r="E66" s="56"/>
      <c r="F66" s="56"/>
    </row>
    <row r="67" spans="1:6" ht="15" x14ac:dyDescent="0.25">
      <c r="A67" s="56" t="s">
        <v>144</v>
      </c>
      <c r="B67" s="63">
        <v>45674</v>
      </c>
      <c r="C67" s="57">
        <v>2242.4693200000002</v>
      </c>
      <c r="D67" s="56"/>
      <c r="E67" s="56"/>
      <c r="F67" s="56"/>
    </row>
    <row r="68" spans="1:6" ht="15" x14ac:dyDescent="0.25">
      <c r="A68" s="56" t="s">
        <v>145</v>
      </c>
      <c r="B68" s="63">
        <v>45885</v>
      </c>
      <c r="C68" s="57">
        <v>506989.04584999994</v>
      </c>
      <c r="D68" s="56"/>
      <c r="E68" s="56"/>
      <c r="F68" s="56"/>
    </row>
    <row r="69" spans="1:6" ht="15" x14ac:dyDescent="0.25">
      <c r="A69" s="56" t="s">
        <v>146</v>
      </c>
      <c r="B69" s="63">
        <v>45687</v>
      </c>
      <c r="C69" s="57">
        <v>47590.866749999994</v>
      </c>
      <c r="D69" s="56"/>
      <c r="E69" s="56"/>
      <c r="F69" s="56"/>
    </row>
    <row r="70" spans="1:6" ht="15" x14ac:dyDescent="0.25">
      <c r="A70" s="56" t="s">
        <v>147</v>
      </c>
      <c r="B70" s="63">
        <v>45740</v>
      </c>
      <c r="C70" s="57">
        <v>18857.864448</v>
      </c>
      <c r="D70" s="56"/>
      <c r="E70" s="56"/>
      <c r="F70" s="56"/>
    </row>
    <row r="71" spans="1:6" ht="15" x14ac:dyDescent="0.25">
      <c r="A71" s="56" t="s">
        <v>148</v>
      </c>
      <c r="B71" s="63">
        <v>45748</v>
      </c>
      <c r="C71" s="57">
        <v>1691.6209889999998</v>
      </c>
      <c r="D71" s="56"/>
      <c r="E71" s="56"/>
      <c r="F71" s="56"/>
    </row>
    <row r="72" spans="1:6" ht="15" x14ac:dyDescent="0.25">
      <c r="A72" s="56" t="s">
        <v>149</v>
      </c>
      <c r="B72" s="63">
        <v>45879</v>
      </c>
      <c r="C72" s="57">
        <v>23361.108959999998</v>
      </c>
      <c r="D72" s="56"/>
      <c r="E72" s="56"/>
      <c r="F72" s="56"/>
    </row>
    <row r="73" spans="1:6" ht="15" x14ac:dyDescent="0.25">
      <c r="A73" s="56" t="s">
        <v>150</v>
      </c>
      <c r="B73" s="63">
        <v>45692</v>
      </c>
      <c r="C73" s="57">
        <v>388947.41464499995</v>
      </c>
      <c r="D73" s="56"/>
      <c r="E73" s="56"/>
      <c r="F73" s="56"/>
    </row>
    <row r="74" spans="1:6" ht="15" x14ac:dyDescent="0.25">
      <c r="A74" s="56" t="s">
        <v>151</v>
      </c>
      <c r="B74" s="63">
        <v>45950</v>
      </c>
      <c r="C74" s="57">
        <v>216435.42917799999</v>
      </c>
      <c r="D74" s="56"/>
      <c r="E74" s="56"/>
      <c r="F74" s="56"/>
    </row>
    <row r="75" spans="1:6" ht="15" x14ac:dyDescent="0.25">
      <c r="A75" s="56" t="s">
        <v>152</v>
      </c>
      <c r="B75" s="63">
        <v>45694</v>
      </c>
      <c r="C75" s="57">
        <v>132471.14679999999</v>
      </c>
      <c r="D75" s="56"/>
      <c r="E75" s="56"/>
      <c r="F75" s="56"/>
    </row>
    <row r="76" spans="1:6" ht="15" x14ac:dyDescent="0.25">
      <c r="A76" s="56" t="s">
        <v>153</v>
      </c>
      <c r="B76" s="63">
        <v>45955</v>
      </c>
      <c r="C76" s="57">
        <v>193341.33952400004</v>
      </c>
      <c r="D76" s="56"/>
      <c r="E76" s="56"/>
      <c r="F76" s="56"/>
    </row>
    <row r="77" spans="1:6" ht="15" x14ac:dyDescent="0.25">
      <c r="A77" s="56" t="s">
        <v>154</v>
      </c>
      <c r="B77" s="63">
        <v>45849</v>
      </c>
      <c r="C77" s="57">
        <v>50398.265841</v>
      </c>
      <c r="D77" s="56"/>
      <c r="E77" s="56"/>
      <c r="F77" s="56"/>
    </row>
    <row r="78" spans="1:6" ht="15" x14ac:dyDescent="0.25">
      <c r="A78" s="56" t="s">
        <v>155</v>
      </c>
      <c r="B78" s="63">
        <v>45917</v>
      </c>
      <c r="C78" s="57">
        <v>450042.03031899995</v>
      </c>
      <c r="D78" s="56"/>
      <c r="E78" s="56"/>
      <c r="F78" s="56"/>
    </row>
    <row r="79" spans="1:6" ht="15" x14ac:dyDescent="0.25">
      <c r="A79" s="56" t="s">
        <v>156</v>
      </c>
      <c r="B79" s="63">
        <v>45807</v>
      </c>
      <c r="C79" s="57">
        <v>28893.3547</v>
      </c>
      <c r="D79" s="56"/>
      <c r="E79" s="56"/>
      <c r="F79" s="56"/>
    </row>
    <row r="80" spans="1:6" ht="15" x14ac:dyDescent="0.25">
      <c r="A80" s="56" t="s">
        <v>157</v>
      </c>
      <c r="B80" s="63">
        <v>45776</v>
      </c>
      <c r="C80" s="57">
        <v>163474.95731999996</v>
      </c>
      <c r="D80" s="56"/>
      <c r="E80" s="56"/>
      <c r="F80" s="56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3166-A86D-4FE8-AA10-C67F1B704D92}">
  <dimension ref="A1:Z154"/>
  <sheetViews>
    <sheetView showGridLines="0" topLeftCell="N1" workbookViewId="0">
      <selection activeCell="V18" sqref="V18"/>
    </sheetView>
  </sheetViews>
  <sheetFormatPr defaultRowHeight="15" x14ac:dyDescent="0.25"/>
  <cols>
    <col min="1" max="1" width="13.85546875" style="45" bestFit="1" customWidth="1"/>
    <col min="2" max="2" width="15" style="45" bestFit="1" customWidth="1"/>
    <col min="3" max="3" width="13.140625" style="46" bestFit="1" customWidth="1"/>
    <col min="4" max="4" width="14.28515625" style="47" bestFit="1" customWidth="1"/>
    <col min="5" max="5" width="8" style="45" bestFit="1" customWidth="1"/>
    <col min="6" max="6" width="50.7109375" style="46" bestFit="1" customWidth="1"/>
    <col min="7" max="7" width="15.28515625" style="48" bestFit="1" customWidth="1"/>
    <col min="8" max="8" width="14.42578125" style="49" bestFit="1" customWidth="1"/>
    <col min="9" max="9" width="19.140625" style="49" bestFit="1" customWidth="1"/>
    <col min="10" max="10" width="15.140625" style="49" bestFit="1" customWidth="1"/>
    <col min="11" max="11" width="13.28515625" style="44" bestFit="1" customWidth="1"/>
    <col min="12" max="12" width="19.5703125" style="50" bestFit="1" customWidth="1"/>
    <col min="13" max="13" width="14.5703125" style="44" bestFit="1" customWidth="1"/>
    <col min="14" max="14" width="24.140625" style="44" bestFit="1" customWidth="1"/>
    <col min="15" max="15" width="13.28515625" style="44" bestFit="1" customWidth="1"/>
    <col min="16" max="21" width="9.140625" style="44"/>
    <col min="22" max="22" width="57" style="44" bestFit="1" customWidth="1"/>
    <col min="23" max="23" width="29.42578125" style="44" customWidth="1"/>
    <col min="24" max="16384" width="9.140625" style="44"/>
  </cols>
  <sheetData>
    <row r="1" spans="1:26" s="36" customFormat="1" x14ac:dyDescent="0.25">
      <c r="A1" s="34" t="s">
        <v>69</v>
      </c>
      <c r="B1" s="34" t="s">
        <v>388</v>
      </c>
      <c r="C1" s="34" t="s">
        <v>0</v>
      </c>
      <c r="D1" s="34" t="s">
        <v>1</v>
      </c>
      <c r="E1" s="34" t="s">
        <v>2</v>
      </c>
      <c r="F1" s="34" t="s">
        <v>70</v>
      </c>
      <c r="G1" s="35" t="s">
        <v>71</v>
      </c>
      <c r="H1" s="34" t="s">
        <v>164</v>
      </c>
      <c r="I1" s="34" t="s">
        <v>165</v>
      </c>
      <c r="J1" s="34" t="s">
        <v>166</v>
      </c>
      <c r="K1" s="34" t="s">
        <v>73</v>
      </c>
      <c r="L1" s="62" t="s">
        <v>72</v>
      </c>
      <c r="M1" s="34" t="s">
        <v>68</v>
      </c>
      <c r="N1" s="34" t="s">
        <v>167</v>
      </c>
      <c r="O1" s="34" t="s">
        <v>205</v>
      </c>
    </row>
    <row r="2" spans="1:26" x14ac:dyDescent="0.25">
      <c r="A2" s="37">
        <v>45455</v>
      </c>
      <c r="B2" s="37" t="s">
        <v>389</v>
      </c>
      <c r="C2" s="38" t="s">
        <v>3</v>
      </c>
      <c r="D2" s="39" t="s">
        <v>4</v>
      </c>
      <c r="E2" s="40" t="s">
        <v>5</v>
      </c>
      <c r="F2" s="38" t="s">
        <v>6</v>
      </c>
      <c r="G2" s="41">
        <v>4.9000000000000004</v>
      </c>
      <c r="H2" s="42">
        <v>0.24500000000000002</v>
      </c>
      <c r="I2" s="42">
        <v>0.61250000000000004</v>
      </c>
      <c r="J2" s="42">
        <v>0.53900000000000003</v>
      </c>
      <c r="K2" s="41">
        <v>6.2965</v>
      </c>
      <c r="L2" s="43">
        <v>7</v>
      </c>
      <c r="M2" s="41">
        <v>44.075499999999998</v>
      </c>
      <c r="N2" s="41">
        <v>6.6113249999999999</v>
      </c>
      <c r="O2" s="41">
        <v>37.464174999999997</v>
      </c>
      <c r="V2" s="73" t="s">
        <v>267</v>
      </c>
      <c r="W2" s="73" t="s">
        <v>403</v>
      </c>
    </row>
    <row r="3" spans="1:26" x14ac:dyDescent="0.25">
      <c r="A3" s="37">
        <v>45307</v>
      </c>
      <c r="B3" s="37" t="s">
        <v>390</v>
      </c>
      <c r="C3" s="38" t="s">
        <v>7</v>
      </c>
      <c r="D3" s="39" t="s">
        <v>8</v>
      </c>
      <c r="E3" s="40" t="s">
        <v>9</v>
      </c>
      <c r="F3" s="38" t="s">
        <v>6</v>
      </c>
      <c r="G3" s="41">
        <v>4.25</v>
      </c>
      <c r="H3" s="42">
        <v>0.21250000000000002</v>
      </c>
      <c r="I3" s="42">
        <v>0.53125</v>
      </c>
      <c r="J3" s="42">
        <v>0.46750000000000003</v>
      </c>
      <c r="K3" s="41">
        <v>5.4612500000000006</v>
      </c>
      <c r="L3" s="43">
        <v>1</v>
      </c>
      <c r="M3" s="41">
        <v>5.4612500000000006</v>
      </c>
      <c r="N3" s="41">
        <v>0.81918750000000007</v>
      </c>
      <c r="O3" s="41">
        <v>4.6420625000000006</v>
      </c>
      <c r="V3" s="69" t="s">
        <v>268</v>
      </c>
      <c r="W3" s="69"/>
    </row>
    <row r="4" spans="1:26" x14ac:dyDescent="0.25">
      <c r="A4" s="37">
        <v>45519</v>
      </c>
      <c r="B4" s="37" t="s">
        <v>391</v>
      </c>
      <c r="C4" s="38" t="s">
        <v>10</v>
      </c>
      <c r="D4" s="39" t="s">
        <v>11</v>
      </c>
      <c r="E4" s="40" t="s">
        <v>12</v>
      </c>
      <c r="F4" s="38" t="s">
        <v>13</v>
      </c>
      <c r="G4" s="41">
        <v>1149</v>
      </c>
      <c r="H4" s="42">
        <v>57.45</v>
      </c>
      <c r="I4" s="42">
        <v>143.625</v>
      </c>
      <c r="J4" s="42">
        <v>126.39</v>
      </c>
      <c r="K4" s="41">
        <v>1476.4650000000001</v>
      </c>
      <c r="L4" s="43">
        <v>2</v>
      </c>
      <c r="M4" s="41">
        <v>2952.9300000000003</v>
      </c>
      <c r="N4" s="41">
        <v>442.93950000000001</v>
      </c>
      <c r="O4" s="41">
        <v>2509.9905000000003</v>
      </c>
      <c r="V4" s="69" t="s">
        <v>269</v>
      </c>
      <c r="W4" s="69"/>
    </row>
    <row r="5" spans="1:26" x14ac:dyDescent="0.25">
      <c r="A5" s="37">
        <v>45567</v>
      </c>
      <c r="B5" s="37" t="s">
        <v>392</v>
      </c>
      <c r="C5" s="38" t="s">
        <v>14</v>
      </c>
      <c r="D5" s="39" t="s">
        <v>15</v>
      </c>
      <c r="E5" s="40" t="s">
        <v>16</v>
      </c>
      <c r="F5" s="38" t="s">
        <v>17</v>
      </c>
      <c r="G5" s="41">
        <v>519</v>
      </c>
      <c r="H5" s="42">
        <v>25.950000000000003</v>
      </c>
      <c r="I5" s="42">
        <v>64.875</v>
      </c>
      <c r="J5" s="42">
        <v>57.09</v>
      </c>
      <c r="K5" s="41">
        <v>666.91500000000008</v>
      </c>
      <c r="L5" s="43">
        <v>5</v>
      </c>
      <c r="M5" s="41">
        <v>3334.5750000000003</v>
      </c>
      <c r="N5" s="41">
        <v>500.18625000000003</v>
      </c>
      <c r="O5" s="41">
        <v>2834.3887500000001</v>
      </c>
      <c r="V5" s="69" t="s">
        <v>278</v>
      </c>
      <c r="W5" s="69"/>
    </row>
    <row r="6" spans="1:26" x14ac:dyDescent="0.25">
      <c r="A6" s="37">
        <v>45391</v>
      </c>
      <c r="B6" s="37" t="s">
        <v>393</v>
      </c>
      <c r="C6" s="38" t="s">
        <v>7</v>
      </c>
      <c r="D6" s="39" t="s">
        <v>18</v>
      </c>
      <c r="E6" s="40" t="s">
        <v>19</v>
      </c>
      <c r="F6" s="38" t="s">
        <v>20</v>
      </c>
      <c r="G6" s="41">
        <v>899</v>
      </c>
      <c r="H6" s="42">
        <v>44.95</v>
      </c>
      <c r="I6" s="42">
        <v>112.375</v>
      </c>
      <c r="J6" s="42">
        <v>98.89</v>
      </c>
      <c r="K6" s="41">
        <v>1155.2150000000001</v>
      </c>
      <c r="L6" s="43">
        <v>5</v>
      </c>
      <c r="M6" s="41">
        <v>5776.0750000000007</v>
      </c>
      <c r="N6" s="41">
        <v>866.41125000000011</v>
      </c>
      <c r="O6" s="41">
        <v>4909.6637500000006</v>
      </c>
      <c r="V6" s="69" t="s">
        <v>279</v>
      </c>
      <c r="W6" s="69"/>
    </row>
    <row r="7" spans="1:26" x14ac:dyDescent="0.25">
      <c r="A7" s="37">
        <v>45292</v>
      </c>
      <c r="B7" s="37" t="s">
        <v>390</v>
      </c>
      <c r="C7" s="38" t="s">
        <v>7</v>
      </c>
      <c r="D7" s="39" t="s">
        <v>8</v>
      </c>
      <c r="E7" s="40" t="s">
        <v>9</v>
      </c>
      <c r="F7" s="38" t="s">
        <v>20</v>
      </c>
      <c r="G7" s="41">
        <v>1900</v>
      </c>
      <c r="H7" s="42">
        <v>95</v>
      </c>
      <c r="I7" s="42">
        <v>237.5</v>
      </c>
      <c r="J7" s="42">
        <v>209</v>
      </c>
      <c r="K7" s="41">
        <v>2441.5</v>
      </c>
      <c r="L7" s="43">
        <v>1</v>
      </c>
      <c r="M7" s="41">
        <v>2441.5</v>
      </c>
      <c r="N7" s="41">
        <v>366.22499999999997</v>
      </c>
      <c r="O7" s="41">
        <v>2075.2750000000001</v>
      </c>
      <c r="V7" s="69" t="s">
        <v>280</v>
      </c>
      <c r="W7" s="69"/>
    </row>
    <row r="8" spans="1:26" x14ac:dyDescent="0.25">
      <c r="A8" s="37">
        <v>45298</v>
      </c>
      <c r="B8" s="37" t="s">
        <v>390</v>
      </c>
      <c r="C8" s="38" t="s">
        <v>14</v>
      </c>
      <c r="D8" s="39" t="s">
        <v>15</v>
      </c>
      <c r="E8" s="40" t="s">
        <v>16</v>
      </c>
      <c r="F8" s="38" t="s">
        <v>21</v>
      </c>
      <c r="G8" s="41">
        <v>2000</v>
      </c>
      <c r="H8" s="42">
        <v>100</v>
      </c>
      <c r="I8" s="42">
        <v>250</v>
      </c>
      <c r="J8" s="42">
        <v>220</v>
      </c>
      <c r="K8" s="41">
        <v>2570</v>
      </c>
      <c r="L8" s="43">
        <v>2</v>
      </c>
      <c r="M8" s="41">
        <v>5140</v>
      </c>
      <c r="N8" s="41">
        <v>771</v>
      </c>
      <c r="O8" s="41">
        <v>4369</v>
      </c>
      <c r="V8" s="69" t="s">
        <v>281</v>
      </c>
      <c r="W8" s="69"/>
    </row>
    <row r="9" spans="1:26" x14ac:dyDescent="0.25">
      <c r="A9" s="37">
        <v>45426</v>
      </c>
      <c r="B9" s="37" t="s">
        <v>394</v>
      </c>
      <c r="C9" s="38" t="s">
        <v>22</v>
      </c>
      <c r="D9" s="39" t="s">
        <v>23</v>
      </c>
      <c r="E9" s="40" t="s">
        <v>24</v>
      </c>
      <c r="F9" s="38" t="s">
        <v>21</v>
      </c>
      <c r="G9" s="41">
        <v>2000</v>
      </c>
      <c r="H9" s="42">
        <v>100</v>
      </c>
      <c r="I9" s="42">
        <v>250</v>
      </c>
      <c r="J9" s="42">
        <v>220</v>
      </c>
      <c r="K9" s="41">
        <v>2570</v>
      </c>
      <c r="L9" s="43">
        <v>2</v>
      </c>
      <c r="M9" s="41">
        <v>5140</v>
      </c>
      <c r="N9" s="41">
        <v>771</v>
      </c>
      <c r="O9" s="41">
        <v>4369</v>
      </c>
      <c r="V9" s="69" t="s">
        <v>282</v>
      </c>
      <c r="W9" s="69"/>
    </row>
    <row r="10" spans="1:26" x14ac:dyDescent="0.25">
      <c r="A10" s="37">
        <v>45617</v>
      </c>
      <c r="B10" s="37" t="s">
        <v>395</v>
      </c>
      <c r="C10" s="38" t="s">
        <v>3</v>
      </c>
      <c r="D10" s="39" t="s">
        <v>25</v>
      </c>
      <c r="E10" s="40" t="s">
        <v>26</v>
      </c>
      <c r="F10" s="38" t="s">
        <v>21</v>
      </c>
      <c r="G10" s="41">
        <v>999</v>
      </c>
      <c r="H10" s="42">
        <v>49.95</v>
      </c>
      <c r="I10" s="42">
        <v>124.875</v>
      </c>
      <c r="J10" s="42">
        <v>109.89</v>
      </c>
      <c r="K10" s="41">
        <v>1283.7150000000001</v>
      </c>
      <c r="L10" s="43">
        <v>7</v>
      </c>
      <c r="M10" s="41">
        <v>8986.005000000001</v>
      </c>
      <c r="N10" s="41">
        <v>1347.90075</v>
      </c>
      <c r="O10" s="41">
        <v>7638.1042500000012</v>
      </c>
      <c r="V10" s="69" t="s">
        <v>386</v>
      </c>
      <c r="W10" s="69"/>
    </row>
    <row r="11" spans="1:26" x14ac:dyDescent="0.25">
      <c r="A11" s="37">
        <v>45492</v>
      </c>
      <c r="B11" s="37" t="s">
        <v>396</v>
      </c>
      <c r="C11" s="38" t="s">
        <v>7</v>
      </c>
      <c r="D11" s="39" t="s">
        <v>18</v>
      </c>
      <c r="E11" s="40" t="s">
        <v>19</v>
      </c>
      <c r="F11" s="38" t="s">
        <v>27</v>
      </c>
      <c r="G11" s="41">
        <v>7999</v>
      </c>
      <c r="H11" s="42">
        <v>399.95000000000005</v>
      </c>
      <c r="I11" s="42">
        <v>999.875</v>
      </c>
      <c r="J11" s="42">
        <v>879.89</v>
      </c>
      <c r="K11" s="41">
        <v>10278.715</v>
      </c>
      <c r="L11" s="43">
        <v>1</v>
      </c>
      <c r="M11" s="41">
        <v>10278.715</v>
      </c>
      <c r="N11" s="41">
        <v>1541.8072500000001</v>
      </c>
      <c r="O11" s="41">
        <v>8736.9077500000003</v>
      </c>
      <c r="V11" s="69" t="s">
        <v>387</v>
      </c>
      <c r="W11" s="69"/>
    </row>
    <row r="12" spans="1:26" x14ac:dyDescent="0.25">
      <c r="A12" s="37">
        <v>45655</v>
      </c>
      <c r="B12" s="37" t="s">
        <v>397</v>
      </c>
      <c r="C12" s="38" t="s">
        <v>10</v>
      </c>
      <c r="D12" s="39" t="s">
        <v>28</v>
      </c>
      <c r="E12" s="40" t="s">
        <v>29</v>
      </c>
      <c r="F12" s="38" t="s">
        <v>30</v>
      </c>
      <c r="G12" s="41">
        <v>5299</v>
      </c>
      <c r="H12" s="42">
        <v>264.95</v>
      </c>
      <c r="I12" s="42">
        <v>662.375</v>
      </c>
      <c r="J12" s="42">
        <v>582.89</v>
      </c>
      <c r="K12" s="41">
        <v>6809.2150000000001</v>
      </c>
      <c r="L12" s="43">
        <v>7</v>
      </c>
      <c r="M12" s="41">
        <v>47664.505000000005</v>
      </c>
      <c r="N12" s="41">
        <v>7149.6757500000003</v>
      </c>
      <c r="O12" s="41">
        <v>40514.829250000003</v>
      </c>
      <c r="V12" s="69" t="s">
        <v>401</v>
      </c>
      <c r="W12" s="69"/>
    </row>
    <row r="13" spans="1:26" x14ac:dyDescent="0.25">
      <c r="A13" s="37">
        <v>45461</v>
      </c>
      <c r="B13" s="37" t="s">
        <v>389</v>
      </c>
      <c r="C13" s="38" t="s">
        <v>7</v>
      </c>
      <c r="D13" s="39" t="s">
        <v>18</v>
      </c>
      <c r="E13" s="40" t="s">
        <v>19</v>
      </c>
      <c r="F13" s="38" t="s">
        <v>31</v>
      </c>
      <c r="G13" s="41">
        <v>5999</v>
      </c>
      <c r="H13" s="42">
        <v>299.95</v>
      </c>
      <c r="I13" s="42">
        <v>749.875</v>
      </c>
      <c r="J13" s="42">
        <v>659.89</v>
      </c>
      <c r="K13" s="41">
        <v>7708.7150000000001</v>
      </c>
      <c r="L13" s="43">
        <v>3</v>
      </c>
      <c r="M13" s="41">
        <v>23126.145</v>
      </c>
      <c r="N13" s="41">
        <v>3468.92175</v>
      </c>
      <c r="O13" s="41">
        <v>19657.223249999999</v>
      </c>
      <c r="V13"/>
      <c r="W13"/>
      <c r="X13"/>
      <c r="Y13"/>
      <c r="Z13"/>
    </row>
    <row r="14" spans="1:26" x14ac:dyDescent="0.25">
      <c r="A14" s="37">
        <v>45390</v>
      </c>
      <c r="B14" s="37" t="s">
        <v>393</v>
      </c>
      <c r="C14" s="38" t="s">
        <v>7</v>
      </c>
      <c r="D14" s="39" t="s">
        <v>18</v>
      </c>
      <c r="E14" s="40" t="s">
        <v>19</v>
      </c>
      <c r="F14" s="38" t="s">
        <v>31</v>
      </c>
      <c r="G14" s="41">
        <v>5999</v>
      </c>
      <c r="H14" s="42">
        <v>299.95</v>
      </c>
      <c r="I14" s="42">
        <v>749.875</v>
      </c>
      <c r="J14" s="42">
        <v>659.89</v>
      </c>
      <c r="K14" s="41">
        <v>7708.7150000000001</v>
      </c>
      <c r="L14" s="43">
        <v>2</v>
      </c>
      <c r="M14" s="41">
        <v>15417.43</v>
      </c>
      <c r="N14" s="41">
        <v>2312.6145000000001</v>
      </c>
      <c r="O14" s="41">
        <v>13104.815500000001</v>
      </c>
      <c r="V14"/>
      <c r="W14"/>
      <c r="X14"/>
      <c r="Y14"/>
      <c r="Z14"/>
    </row>
    <row r="15" spans="1:26" x14ac:dyDescent="0.25">
      <c r="A15" s="37">
        <v>45403</v>
      </c>
      <c r="B15" s="37" t="s">
        <v>393</v>
      </c>
      <c r="C15" s="38" t="s">
        <v>22</v>
      </c>
      <c r="D15" s="39" t="s">
        <v>23</v>
      </c>
      <c r="E15" s="40" t="s">
        <v>24</v>
      </c>
      <c r="F15" s="38" t="s">
        <v>6</v>
      </c>
      <c r="G15" s="41">
        <v>4.9000000000000004</v>
      </c>
      <c r="H15" s="42">
        <v>0.24500000000000002</v>
      </c>
      <c r="I15" s="42">
        <v>0.61250000000000004</v>
      </c>
      <c r="J15" s="42">
        <v>0.53900000000000003</v>
      </c>
      <c r="K15" s="41">
        <v>6.2965</v>
      </c>
      <c r="L15" s="43">
        <v>8</v>
      </c>
      <c r="M15" s="41">
        <v>50.372</v>
      </c>
      <c r="N15" s="41">
        <v>7.5557999999999996</v>
      </c>
      <c r="O15" s="41">
        <v>42.816200000000002</v>
      </c>
      <c r="V15"/>
      <c r="W15"/>
      <c r="X15"/>
      <c r="Y15"/>
      <c r="Z15"/>
    </row>
    <row r="16" spans="1:26" x14ac:dyDescent="0.25">
      <c r="A16" s="37">
        <v>45397</v>
      </c>
      <c r="B16" s="37" t="s">
        <v>393</v>
      </c>
      <c r="C16" s="38" t="s">
        <v>7</v>
      </c>
      <c r="D16" s="39" t="s">
        <v>18</v>
      </c>
      <c r="E16" s="40" t="s">
        <v>19</v>
      </c>
      <c r="F16" s="38" t="s">
        <v>32</v>
      </c>
      <c r="G16" s="41">
        <v>1450</v>
      </c>
      <c r="H16" s="42">
        <v>72.5</v>
      </c>
      <c r="I16" s="42">
        <v>181.25</v>
      </c>
      <c r="J16" s="42">
        <v>159.5</v>
      </c>
      <c r="K16" s="41">
        <v>1863.25</v>
      </c>
      <c r="L16" s="43">
        <v>7</v>
      </c>
      <c r="M16" s="41">
        <v>13042.75</v>
      </c>
      <c r="N16" s="41">
        <v>1956.4124999999999</v>
      </c>
      <c r="O16" s="41">
        <v>11086.3375</v>
      </c>
      <c r="V16"/>
      <c r="W16"/>
      <c r="X16"/>
      <c r="Y16"/>
      <c r="Z16"/>
    </row>
    <row r="17" spans="1:26" x14ac:dyDescent="0.25">
      <c r="A17" s="37">
        <v>45315</v>
      </c>
      <c r="B17" s="37" t="s">
        <v>390</v>
      </c>
      <c r="C17" s="38" t="s">
        <v>22</v>
      </c>
      <c r="D17" s="39" t="s">
        <v>33</v>
      </c>
      <c r="E17" s="40" t="s">
        <v>34</v>
      </c>
      <c r="F17" s="38" t="s">
        <v>32</v>
      </c>
      <c r="G17" s="41">
        <v>1950</v>
      </c>
      <c r="H17" s="42">
        <v>97.5</v>
      </c>
      <c r="I17" s="42">
        <v>243.75</v>
      </c>
      <c r="J17" s="42">
        <v>214.5</v>
      </c>
      <c r="K17" s="41">
        <v>2505.75</v>
      </c>
      <c r="L17" s="43">
        <v>4</v>
      </c>
      <c r="M17" s="41">
        <v>10023</v>
      </c>
      <c r="N17" s="41">
        <v>1503.45</v>
      </c>
      <c r="O17" s="41">
        <v>8519.5499999999993</v>
      </c>
      <c r="V17"/>
      <c r="W17"/>
      <c r="X17"/>
      <c r="Y17"/>
      <c r="Z17"/>
    </row>
    <row r="18" spans="1:26" x14ac:dyDescent="0.25">
      <c r="A18" s="37">
        <v>45307</v>
      </c>
      <c r="B18" s="37" t="s">
        <v>390</v>
      </c>
      <c r="C18" s="38" t="s">
        <v>3</v>
      </c>
      <c r="D18" s="39" t="s">
        <v>4</v>
      </c>
      <c r="E18" s="40" t="s">
        <v>5</v>
      </c>
      <c r="F18" s="38" t="s">
        <v>32</v>
      </c>
      <c r="G18" s="41">
        <v>1799</v>
      </c>
      <c r="H18" s="42">
        <v>89.95</v>
      </c>
      <c r="I18" s="42">
        <v>224.875</v>
      </c>
      <c r="J18" s="42">
        <v>197.89000000000001</v>
      </c>
      <c r="K18" s="41">
        <v>2311.7149999999997</v>
      </c>
      <c r="L18" s="43">
        <v>1</v>
      </c>
      <c r="M18" s="41">
        <v>2311.7149999999997</v>
      </c>
      <c r="N18" s="41">
        <v>346.75724999999994</v>
      </c>
      <c r="O18" s="41">
        <v>1964.9577499999998</v>
      </c>
      <c r="V18"/>
      <c r="W18"/>
      <c r="X18"/>
      <c r="Y18"/>
      <c r="Z18"/>
    </row>
    <row r="19" spans="1:26" x14ac:dyDescent="0.25">
      <c r="A19" s="37">
        <v>45445</v>
      </c>
      <c r="B19" s="37" t="s">
        <v>389</v>
      </c>
      <c r="C19" s="38" t="s">
        <v>7</v>
      </c>
      <c r="D19" s="39" t="s">
        <v>8</v>
      </c>
      <c r="E19" s="40" t="s">
        <v>9</v>
      </c>
      <c r="F19" s="38" t="s">
        <v>35</v>
      </c>
      <c r="G19" s="41">
        <v>799</v>
      </c>
      <c r="H19" s="42">
        <v>39.950000000000003</v>
      </c>
      <c r="I19" s="42">
        <v>99.875</v>
      </c>
      <c r="J19" s="42">
        <v>87.89</v>
      </c>
      <c r="K19" s="41">
        <v>1026.7150000000001</v>
      </c>
      <c r="L19" s="43">
        <v>8</v>
      </c>
      <c r="M19" s="41">
        <v>8213.7200000000012</v>
      </c>
      <c r="N19" s="41">
        <v>1232.0580000000002</v>
      </c>
      <c r="O19" s="41">
        <v>6981.6620000000012</v>
      </c>
      <c r="V19"/>
      <c r="W19"/>
      <c r="X19"/>
      <c r="Y19"/>
      <c r="Z19"/>
    </row>
    <row r="20" spans="1:26" x14ac:dyDescent="0.25">
      <c r="A20" s="37">
        <v>45565</v>
      </c>
      <c r="B20" s="37" t="s">
        <v>398</v>
      </c>
      <c r="C20" s="38" t="s">
        <v>3</v>
      </c>
      <c r="D20" s="39" t="s">
        <v>4</v>
      </c>
      <c r="E20" s="40" t="s">
        <v>5</v>
      </c>
      <c r="F20" s="38" t="s">
        <v>36</v>
      </c>
      <c r="G20" s="41">
        <v>385</v>
      </c>
      <c r="H20" s="42">
        <v>19.25</v>
      </c>
      <c r="I20" s="42">
        <v>48.125</v>
      </c>
      <c r="J20" s="42">
        <v>42.35</v>
      </c>
      <c r="K20" s="41">
        <v>494.72500000000002</v>
      </c>
      <c r="L20" s="43">
        <v>6</v>
      </c>
      <c r="M20" s="41">
        <v>2968.3500000000004</v>
      </c>
      <c r="N20" s="41">
        <v>445.25250000000005</v>
      </c>
      <c r="O20" s="41">
        <v>2523.0975000000003</v>
      </c>
      <c r="V20"/>
      <c r="W20"/>
      <c r="X20"/>
      <c r="Y20"/>
      <c r="Z20"/>
    </row>
    <row r="21" spans="1:26" x14ac:dyDescent="0.25">
      <c r="A21" s="37">
        <v>45453</v>
      </c>
      <c r="B21" s="37" t="s">
        <v>389</v>
      </c>
      <c r="C21" s="38" t="s">
        <v>7</v>
      </c>
      <c r="D21" s="39" t="s">
        <v>18</v>
      </c>
      <c r="E21" s="40" t="s">
        <v>19</v>
      </c>
      <c r="F21" s="38" t="s">
        <v>36</v>
      </c>
      <c r="G21" s="41">
        <v>499</v>
      </c>
      <c r="H21" s="42">
        <v>24.950000000000003</v>
      </c>
      <c r="I21" s="42">
        <v>62.375</v>
      </c>
      <c r="J21" s="42">
        <v>54.89</v>
      </c>
      <c r="K21" s="41">
        <v>641.21500000000003</v>
      </c>
      <c r="L21" s="43">
        <v>5</v>
      </c>
      <c r="M21" s="41">
        <v>3206.0750000000003</v>
      </c>
      <c r="N21" s="41">
        <v>480.91125</v>
      </c>
      <c r="O21" s="41">
        <v>2725.1637500000002</v>
      </c>
      <c r="V21"/>
      <c r="W21"/>
      <c r="X21"/>
      <c r="Y21"/>
      <c r="Z21"/>
    </row>
    <row r="22" spans="1:26" x14ac:dyDescent="0.25">
      <c r="A22" s="37">
        <v>45313</v>
      </c>
      <c r="B22" s="37" t="s">
        <v>390</v>
      </c>
      <c r="C22" s="38" t="s">
        <v>10</v>
      </c>
      <c r="D22" s="39" t="s">
        <v>28</v>
      </c>
      <c r="E22" s="40" t="s">
        <v>29</v>
      </c>
      <c r="F22" s="38" t="s">
        <v>37</v>
      </c>
      <c r="G22" s="41">
        <v>299</v>
      </c>
      <c r="H22" s="42">
        <v>14.950000000000001</v>
      </c>
      <c r="I22" s="42">
        <v>37.375</v>
      </c>
      <c r="J22" s="42">
        <v>32.89</v>
      </c>
      <c r="K22" s="41">
        <v>384.21499999999997</v>
      </c>
      <c r="L22" s="43">
        <v>3</v>
      </c>
      <c r="M22" s="41">
        <v>1152.645</v>
      </c>
      <c r="N22" s="41">
        <v>172.89675</v>
      </c>
      <c r="O22" s="41">
        <v>979.74824999999998</v>
      </c>
      <c r="V22"/>
      <c r="W22"/>
      <c r="X22"/>
      <c r="Y22"/>
      <c r="Z22"/>
    </row>
    <row r="23" spans="1:26" x14ac:dyDescent="0.25">
      <c r="A23" s="37">
        <v>45495</v>
      </c>
      <c r="B23" s="37" t="s">
        <v>396</v>
      </c>
      <c r="C23" s="38" t="s">
        <v>3</v>
      </c>
      <c r="D23" s="39" t="s">
        <v>25</v>
      </c>
      <c r="E23" s="40" t="s">
        <v>26</v>
      </c>
      <c r="F23" s="38" t="s">
        <v>38</v>
      </c>
      <c r="G23" s="41">
        <v>329</v>
      </c>
      <c r="H23" s="42">
        <v>16.45</v>
      </c>
      <c r="I23" s="42">
        <v>41.125</v>
      </c>
      <c r="J23" s="42">
        <v>36.19</v>
      </c>
      <c r="K23" s="41">
        <v>422.76499999999999</v>
      </c>
      <c r="L23" s="43">
        <v>3</v>
      </c>
      <c r="M23" s="41">
        <v>1268.2950000000001</v>
      </c>
      <c r="N23" s="41">
        <v>190.24424999999999</v>
      </c>
      <c r="O23" s="41">
        <v>1078.0507500000001</v>
      </c>
      <c r="V23"/>
      <c r="W23"/>
      <c r="X23"/>
      <c r="Y23"/>
      <c r="Z23"/>
    </row>
    <row r="24" spans="1:26" x14ac:dyDescent="0.25">
      <c r="A24" s="37">
        <v>45402</v>
      </c>
      <c r="B24" s="37" t="s">
        <v>393</v>
      </c>
      <c r="C24" s="38" t="s">
        <v>10</v>
      </c>
      <c r="D24" s="39" t="s">
        <v>39</v>
      </c>
      <c r="E24" s="40" t="s">
        <v>40</v>
      </c>
      <c r="F24" s="38" t="s">
        <v>38</v>
      </c>
      <c r="G24" s="41">
        <v>575</v>
      </c>
      <c r="H24" s="42">
        <v>28.75</v>
      </c>
      <c r="I24" s="42">
        <v>71.875</v>
      </c>
      <c r="J24" s="42">
        <v>63.25</v>
      </c>
      <c r="K24" s="41">
        <v>738.875</v>
      </c>
      <c r="L24" s="43">
        <v>8</v>
      </c>
      <c r="M24" s="41">
        <v>5911</v>
      </c>
      <c r="N24" s="41">
        <v>886.65</v>
      </c>
      <c r="O24" s="41">
        <v>5024.3500000000004</v>
      </c>
      <c r="V24"/>
      <c r="W24"/>
      <c r="X24"/>
      <c r="Y24"/>
      <c r="Z24"/>
    </row>
    <row r="25" spans="1:26" x14ac:dyDescent="0.25">
      <c r="A25" s="37">
        <v>45359</v>
      </c>
      <c r="B25" s="37" t="s">
        <v>399</v>
      </c>
      <c r="C25" s="38" t="s">
        <v>22</v>
      </c>
      <c r="D25" s="39" t="s">
        <v>41</v>
      </c>
      <c r="E25" s="40" t="s">
        <v>42</v>
      </c>
      <c r="F25" s="38" t="s">
        <v>43</v>
      </c>
      <c r="G25" s="41">
        <v>1329</v>
      </c>
      <c r="H25" s="42">
        <v>66.45</v>
      </c>
      <c r="I25" s="42">
        <v>166.125</v>
      </c>
      <c r="J25" s="42">
        <v>146.19</v>
      </c>
      <c r="K25" s="41">
        <v>1707.7650000000001</v>
      </c>
      <c r="L25" s="43">
        <v>8</v>
      </c>
      <c r="M25" s="41">
        <v>13662.12</v>
      </c>
      <c r="N25" s="41">
        <v>2049.3180000000002</v>
      </c>
      <c r="O25" s="41">
        <v>11612.802</v>
      </c>
      <c r="V25"/>
      <c r="W25"/>
      <c r="X25"/>
      <c r="Y25"/>
      <c r="Z25"/>
    </row>
    <row r="26" spans="1:26" x14ac:dyDescent="0.25">
      <c r="A26" s="37">
        <v>45517</v>
      </c>
      <c r="B26" s="37" t="s">
        <v>391</v>
      </c>
      <c r="C26" s="38" t="s">
        <v>7</v>
      </c>
      <c r="D26" s="39" t="s">
        <v>18</v>
      </c>
      <c r="E26" s="40" t="s">
        <v>19</v>
      </c>
      <c r="F26" s="38" t="s">
        <v>20</v>
      </c>
      <c r="G26" s="41">
        <v>899</v>
      </c>
      <c r="H26" s="42">
        <v>44.95</v>
      </c>
      <c r="I26" s="42">
        <v>112.375</v>
      </c>
      <c r="J26" s="42">
        <v>98.89</v>
      </c>
      <c r="K26" s="41">
        <v>1155.2150000000001</v>
      </c>
      <c r="L26" s="43">
        <v>7</v>
      </c>
      <c r="M26" s="41">
        <v>8086.505000000001</v>
      </c>
      <c r="N26" s="41">
        <v>1212.9757500000001</v>
      </c>
      <c r="O26" s="41">
        <v>6873.5292500000014</v>
      </c>
      <c r="V26"/>
      <c r="W26"/>
      <c r="X26"/>
      <c r="Y26"/>
      <c r="Z26"/>
    </row>
    <row r="27" spans="1:26" x14ac:dyDescent="0.25">
      <c r="A27" s="37">
        <v>45362</v>
      </c>
      <c r="B27" s="37" t="s">
        <v>399</v>
      </c>
      <c r="C27" s="38" t="s">
        <v>3</v>
      </c>
      <c r="D27" s="39" t="s">
        <v>44</v>
      </c>
      <c r="E27" s="40" t="s">
        <v>45</v>
      </c>
      <c r="F27" s="38" t="s">
        <v>20</v>
      </c>
      <c r="G27" s="41">
        <v>899</v>
      </c>
      <c r="H27" s="42">
        <v>44.95</v>
      </c>
      <c r="I27" s="42">
        <v>112.375</v>
      </c>
      <c r="J27" s="42">
        <v>98.89</v>
      </c>
      <c r="K27" s="41">
        <v>1155.2150000000001</v>
      </c>
      <c r="L27" s="43">
        <v>3</v>
      </c>
      <c r="M27" s="41">
        <v>3465.6450000000004</v>
      </c>
      <c r="N27" s="41">
        <v>519.84675000000004</v>
      </c>
      <c r="O27" s="41">
        <v>2945.7982500000003</v>
      </c>
      <c r="V27"/>
      <c r="W27"/>
      <c r="X27"/>
      <c r="Y27"/>
      <c r="Z27"/>
    </row>
    <row r="28" spans="1:26" x14ac:dyDescent="0.25">
      <c r="A28" s="37">
        <v>45645</v>
      </c>
      <c r="B28" s="37" t="s">
        <v>397</v>
      </c>
      <c r="C28" s="38" t="s">
        <v>10</v>
      </c>
      <c r="D28" s="39" t="s">
        <v>11</v>
      </c>
      <c r="E28" s="40" t="s">
        <v>12</v>
      </c>
      <c r="F28" s="38" t="s">
        <v>46</v>
      </c>
      <c r="G28" s="41">
        <v>499</v>
      </c>
      <c r="H28" s="42">
        <v>24.950000000000003</v>
      </c>
      <c r="I28" s="42">
        <v>62.375</v>
      </c>
      <c r="J28" s="42">
        <v>54.89</v>
      </c>
      <c r="K28" s="41">
        <v>641.21500000000003</v>
      </c>
      <c r="L28" s="43">
        <v>2</v>
      </c>
      <c r="M28" s="41">
        <v>1282.43</v>
      </c>
      <c r="N28" s="41">
        <v>192.36449999999999</v>
      </c>
      <c r="O28" s="41">
        <v>1090.0655000000002</v>
      </c>
      <c r="V28"/>
      <c r="W28"/>
      <c r="X28"/>
      <c r="Y28"/>
      <c r="Z28"/>
    </row>
    <row r="29" spans="1:26" x14ac:dyDescent="0.25">
      <c r="A29" s="37">
        <v>45594</v>
      </c>
      <c r="B29" s="37" t="s">
        <v>392</v>
      </c>
      <c r="C29" s="38" t="s">
        <v>10</v>
      </c>
      <c r="D29" s="39" t="s">
        <v>39</v>
      </c>
      <c r="E29" s="40" t="s">
        <v>40</v>
      </c>
      <c r="F29" s="38" t="s">
        <v>46</v>
      </c>
      <c r="G29" s="41">
        <v>499</v>
      </c>
      <c r="H29" s="42">
        <v>24.950000000000003</v>
      </c>
      <c r="I29" s="42">
        <v>62.375</v>
      </c>
      <c r="J29" s="42">
        <v>54.89</v>
      </c>
      <c r="K29" s="41">
        <v>641.21500000000003</v>
      </c>
      <c r="L29" s="43">
        <v>5</v>
      </c>
      <c r="M29" s="41">
        <v>3206.0750000000003</v>
      </c>
      <c r="N29" s="41">
        <v>480.91125</v>
      </c>
      <c r="O29" s="41">
        <v>2725.1637500000002</v>
      </c>
      <c r="V29"/>
      <c r="W29"/>
      <c r="X29"/>
      <c r="Y29"/>
      <c r="Z29"/>
    </row>
    <row r="30" spans="1:26" x14ac:dyDescent="0.25">
      <c r="A30" s="37">
        <v>45339</v>
      </c>
      <c r="B30" s="37" t="s">
        <v>400</v>
      </c>
      <c r="C30" s="38" t="s">
        <v>14</v>
      </c>
      <c r="D30" s="39" t="s">
        <v>15</v>
      </c>
      <c r="E30" s="40" t="s">
        <v>16</v>
      </c>
      <c r="F30" s="38" t="s">
        <v>47</v>
      </c>
      <c r="G30" s="41">
        <v>1299</v>
      </c>
      <c r="H30" s="42">
        <v>64.95</v>
      </c>
      <c r="I30" s="42">
        <v>162.375</v>
      </c>
      <c r="J30" s="42">
        <v>142.89000000000001</v>
      </c>
      <c r="K30" s="41">
        <v>1669.2150000000001</v>
      </c>
      <c r="L30" s="43">
        <v>7</v>
      </c>
      <c r="M30" s="41">
        <v>11684.505000000001</v>
      </c>
      <c r="N30" s="41">
        <v>1752.6757500000001</v>
      </c>
      <c r="O30" s="41">
        <v>9931.8292500000007</v>
      </c>
      <c r="V30"/>
      <c r="W30"/>
      <c r="X30"/>
      <c r="Y30"/>
      <c r="Z30"/>
    </row>
    <row r="31" spans="1:26" x14ac:dyDescent="0.25">
      <c r="A31" s="37">
        <v>45569</v>
      </c>
      <c r="B31" s="37" t="s">
        <v>392</v>
      </c>
      <c r="C31" s="38" t="s">
        <v>10</v>
      </c>
      <c r="D31" s="39" t="s">
        <v>11</v>
      </c>
      <c r="E31" s="40" t="s">
        <v>12</v>
      </c>
      <c r="F31" s="38" t="s">
        <v>48</v>
      </c>
      <c r="G31" s="41">
        <v>199.9</v>
      </c>
      <c r="H31" s="42">
        <v>9.995000000000001</v>
      </c>
      <c r="I31" s="42">
        <v>24.987500000000001</v>
      </c>
      <c r="J31" s="42">
        <v>21.989000000000001</v>
      </c>
      <c r="K31" s="41">
        <v>256.87150000000003</v>
      </c>
      <c r="L31" s="43">
        <v>6</v>
      </c>
      <c r="M31" s="41">
        <v>1541.2290000000003</v>
      </c>
      <c r="N31" s="41">
        <v>231.18435000000002</v>
      </c>
      <c r="O31" s="41">
        <v>1310.0446500000003</v>
      </c>
      <c r="V31"/>
      <c r="W31"/>
      <c r="X31"/>
      <c r="Y31"/>
      <c r="Z31"/>
    </row>
    <row r="32" spans="1:26" x14ac:dyDescent="0.25">
      <c r="A32" s="37">
        <v>45592</v>
      </c>
      <c r="B32" s="37" t="s">
        <v>392</v>
      </c>
      <c r="C32" s="38" t="s">
        <v>3</v>
      </c>
      <c r="D32" s="39" t="s">
        <v>25</v>
      </c>
      <c r="E32" s="40" t="s">
        <v>26</v>
      </c>
      <c r="F32" s="38" t="s">
        <v>48</v>
      </c>
      <c r="G32" s="41">
        <v>199.9</v>
      </c>
      <c r="H32" s="42">
        <v>9.995000000000001</v>
      </c>
      <c r="I32" s="42">
        <v>24.987500000000001</v>
      </c>
      <c r="J32" s="42">
        <v>21.989000000000001</v>
      </c>
      <c r="K32" s="41">
        <v>256.87150000000003</v>
      </c>
      <c r="L32" s="43">
        <v>7</v>
      </c>
      <c r="M32" s="41">
        <v>1798.1005000000002</v>
      </c>
      <c r="N32" s="41">
        <v>269.71507500000001</v>
      </c>
      <c r="O32" s="41">
        <v>1528.3854250000002</v>
      </c>
      <c r="V32"/>
      <c r="W32"/>
      <c r="X32"/>
      <c r="Y32"/>
      <c r="Z32"/>
    </row>
    <row r="33" spans="1:26" x14ac:dyDescent="0.25">
      <c r="A33" s="37">
        <v>45328</v>
      </c>
      <c r="B33" s="37" t="s">
        <v>400</v>
      </c>
      <c r="C33" s="38" t="s">
        <v>7</v>
      </c>
      <c r="D33" s="39" t="s">
        <v>8</v>
      </c>
      <c r="E33" s="40" t="s">
        <v>9</v>
      </c>
      <c r="F33" s="38" t="s">
        <v>49</v>
      </c>
      <c r="G33" s="41">
        <v>349</v>
      </c>
      <c r="H33" s="42">
        <v>17.45</v>
      </c>
      <c r="I33" s="42">
        <v>43.625</v>
      </c>
      <c r="J33" s="42">
        <v>38.39</v>
      </c>
      <c r="K33" s="41">
        <v>448.46499999999997</v>
      </c>
      <c r="L33" s="43">
        <v>7</v>
      </c>
      <c r="M33" s="41">
        <v>3139.2549999999997</v>
      </c>
      <c r="N33" s="41">
        <v>470.88824999999991</v>
      </c>
      <c r="O33" s="41">
        <v>2668.3667499999997</v>
      </c>
      <c r="V33"/>
      <c r="W33"/>
      <c r="X33"/>
      <c r="Y33"/>
      <c r="Z33"/>
    </row>
    <row r="34" spans="1:26" x14ac:dyDescent="0.25">
      <c r="A34" s="37">
        <v>45516</v>
      </c>
      <c r="B34" s="37" t="s">
        <v>391</v>
      </c>
      <c r="C34" s="38" t="s">
        <v>3</v>
      </c>
      <c r="D34" s="39" t="s">
        <v>44</v>
      </c>
      <c r="E34" s="40" t="s">
        <v>45</v>
      </c>
      <c r="F34" s="38" t="s">
        <v>50</v>
      </c>
      <c r="G34" s="41">
        <v>31.9</v>
      </c>
      <c r="H34" s="42">
        <v>1.595</v>
      </c>
      <c r="I34" s="42">
        <v>3.9874999999999998</v>
      </c>
      <c r="J34" s="42">
        <v>3.5089999999999999</v>
      </c>
      <c r="K34" s="41">
        <v>40.991499999999995</v>
      </c>
      <c r="L34" s="43">
        <v>1</v>
      </c>
      <c r="M34" s="41">
        <v>40.991499999999995</v>
      </c>
      <c r="N34" s="41">
        <v>6.1487249999999989</v>
      </c>
      <c r="O34" s="41">
        <v>34.842774999999996</v>
      </c>
      <c r="V34"/>
      <c r="W34"/>
      <c r="X34"/>
      <c r="Y34"/>
      <c r="Z34"/>
    </row>
    <row r="35" spans="1:26" x14ac:dyDescent="0.25">
      <c r="A35" s="37">
        <v>45449</v>
      </c>
      <c r="B35" s="37" t="s">
        <v>389</v>
      </c>
      <c r="C35" s="38" t="s">
        <v>7</v>
      </c>
      <c r="D35" s="39" t="s">
        <v>18</v>
      </c>
      <c r="E35" s="40" t="s">
        <v>19</v>
      </c>
      <c r="F35" s="38" t="s">
        <v>51</v>
      </c>
      <c r="G35" s="41">
        <v>299</v>
      </c>
      <c r="H35" s="42">
        <v>14.950000000000001</v>
      </c>
      <c r="I35" s="42">
        <v>37.375</v>
      </c>
      <c r="J35" s="42">
        <v>32.89</v>
      </c>
      <c r="K35" s="41">
        <v>384.21499999999997</v>
      </c>
      <c r="L35" s="43">
        <v>6</v>
      </c>
      <c r="M35" s="41">
        <v>2305.29</v>
      </c>
      <c r="N35" s="41">
        <v>345.79349999999999</v>
      </c>
      <c r="O35" s="41">
        <v>1959.4965</v>
      </c>
      <c r="V35"/>
      <c r="W35"/>
      <c r="X35"/>
      <c r="Y35"/>
      <c r="Z35"/>
    </row>
    <row r="36" spans="1:26" x14ac:dyDescent="0.25">
      <c r="A36" s="37">
        <v>45630</v>
      </c>
      <c r="B36" s="37" t="s">
        <v>397</v>
      </c>
      <c r="C36" s="38" t="s">
        <v>7</v>
      </c>
      <c r="D36" s="39" t="s">
        <v>18</v>
      </c>
      <c r="E36" s="40" t="s">
        <v>19</v>
      </c>
      <c r="F36" s="38" t="s">
        <v>52</v>
      </c>
      <c r="G36" s="41">
        <v>99.9</v>
      </c>
      <c r="H36" s="42">
        <v>4.995000000000001</v>
      </c>
      <c r="I36" s="42">
        <v>12.487500000000001</v>
      </c>
      <c r="J36" s="42">
        <v>10.989000000000001</v>
      </c>
      <c r="K36" s="41">
        <v>128.3715</v>
      </c>
      <c r="L36" s="43">
        <v>7</v>
      </c>
      <c r="M36" s="41">
        <v>898.60050000000001</v>
      </c>
      <c r="N36" s="41">
        <v>134.790075</v>
      </c>
      <c r="O36" s="41">
        <v>763.81042500000001</v>
      </c>
      <c r="V36"/>
      <c r="W36"/>
      <c r="X36"/>
      <c r="Y36"/>
      <c r="Z36"/>
    </row>
    <row r="37" spans="1:26" x14ac:dyDescent="0.25">
      <c r="A37" s="37">
        <v>45383</v>
      </c>
      <c r="B37" s="37" t="s">
        <v>393</v>
      </c>
      <c r="C37" s="38" t="s">
        <v>14</v>
      </c>
      <c r="D37" s="39" t="s">
        <v>53</v>
      </c>
      <c r="E37" s="40" t="s">
        <v>54</v>
      </c>
      <c r="F37" s="38" t="s">
        <v>27</v>
      </c>
      <c r="G37" s="41">
        <v>7999</v>
      </c>
      <c r="H37" s="42">
        <v>399.95000000000005</v>
      </c>
      <c r="I37" s="42">
        <v>999.875</v>
      </c>
      <c r="J37" s="42">
        <v>879.89</v>
      </c>
      <c r="K37" s="41">
        <v>10278.715</v>
      </c>
      <c r="L37" s="43">
        <v>5</v>
      </c>
      <c r="M37" s="41">
        <v>51393.574999999997</v>
      </c>
      <c r="N37" s="41">
        <v>7709.0362499999992</v>
      </c>
      <c r="O37" s="41">
        <v>43684.53875</v>
      </c>
      <c r="V37"/>
      <c r="W37"/>
      <c r="X37"/>
      <c r="Y37"/>
      <c r="Z37"/>
    </row>
    <row r="38" spans="1:26" x14ac:dyDescent="0.25">
      <c r="A38" s="37">
        <v>45403</v>
      </c>
      <c r="B38" s="37" t="s">
        <v>393</v>
      </c>
      <c r="C38" s="38" t="s">
        <v>14</v>
      </c>
      <c r="D38" s="39" t="s">
        <v>53</v>
      </c>
      <c r="E38" s="40" t="s">
        <v>54</v>
      </c>
      <c r="F38" s="38" t="s">
        <v>6</v>
      </c>
      <c r="G38" s="41">
        <v>4.9000000000000004</v>
      </c>
      <c r="H38" s="42">
        <v>0.24500000000000002</v>
      </c>
      <c r="I38" s="42">
        <v>0.61250000000000004</v>
      </c>
      <c r="J38" s="42">
        <v>0.53900000000000003</v>
      </c>
      <c r="K38" s="41">
        <v>6.2965</v>
      </c>
      <c r="L38" s="43">
        <v>5</v>
      </c>
      <c r="M38" s="41">
        <v>31.482500000000002</v>
      </c>
      <c r="N38" s="41">
        <v>4.7223750000000004</v>
      </c>
      <c r="O38" s="41">
        <v>26.760125000000002</v>
      </c>
      <c r="V38"/>
      <c r="W38"/>
      <c r="X38"/>
      <c r="Y38"/>
      <c r="Z38"/>
    </row>
    <row r="39" spans="1:26" x14ac:dyDescent="0.25">
      <c r="A39" s="37">
        <v>45325</v>
      </c>
      <c r="B39" s="37" t="s">
        <v>400</v>
      </c>
      <c r="C39" s="38" t="s">
        <v>22</v>
      </c>
      <c r="D39" s="39" t="s">
        <v>41</v>
      </c>
      <c r="E39" s="40" t="s">
        <v>42</v>
      </c>
      <c r="F39" s="38" t="s">
        <v>6</v>
      </c>
      <c r="G39" s="41">
        <v>5.75</v>
      </c>
      <c r="H39" s="42">
        <v>0.28750000000000003</v>
      </c>
      <c r="I39" s="42">
        <v>0.71875</v>
      </c>
      <c r="J39" s="42">
        <v>0.63249999999999995</v>
      </c>
      <c r="K39" s="41">
        <v>7.3887499999999999</v>
      </c>
      <c r="L39" s="43">
        <v>2</v>
      </c>
      <c r="M39" s="41">
        <v>14.7775</v>
      </c>
      <c r="N39" s="41">
        <v>2.2166250000000001</v>
      </c>
      <c r="O39" s="41">
        <v>12.560874999999999</v>
      </c>
      <c r="V39"/>
      <c r="W39"/>
      <c r="X39"/>
      <c r="Y39"/>
      <c r="Z39"/>
    </row>
    <row r="40" spans="1:26" x14ac:dyDescent="0.25">
      <c r="A40" s="37">
        <v>45499</v>
      </c>
      <c r="B40" s="37" t="s">
        <v>396</v>
      </c>
      <c r="C40" s="38" t="s">
        <v>7</v>
      </c>
      <c r="D40" s="39" t="s">
        <v>18</v>
      </c>
      <c r="E40" s="40" t="s">
        <v>19</v>
      </c>
      <c r="F40" s="38" t="s">
        <v>32</v>
      </c>
      <c r="G40" s="41">
        <v>1799</v>
      </c>
      <c r="H40" s="42">
        <v>89.95</v>
      </c>
      <c r="I40" s="42">
        <v>224.875</v>
      </c>
      <c r="J40" s="42">
        <v>197.89000000000001</v>
      </c>
      <c r="K40" s="41">
        <v>2311.7149999999997</v>
      </c>
      <c r="L40" s="43">
        <v>3</v>
      </c>
      <c r="M40" s="41">
        <v>6935.1449999999986</v>
      </c>
      <c r="N40" s="41">
        <v>1040.2717499999997</v>
      </c>
      <c r="O40" s="41">
        <v>5894.8732499999987</v>
      </c>
      <c r="V40"/>
      <c r="W40"/>
      <c r="X40"/>
      <c r="Y40"/>
      <c r="Z40"/>
    </row>
    <row r="41" spans="1:26" x14ac:dyDescent="0.25">
      <c r="A41" s="37">
        <v>45491</v>
      </c>
      <c r="B41" s="37" t="s">
        <v>396</v>
      </c>
      <c r="C41" s="38" t="s">
        <v>7</v>
      </c>
      <c r="D41" s="39" t="s">
        <v>8</v>
      </c>
      <c r="E41" s="40" t="s">
        <v>9</v>
      </c>
      <c r="F41" s="38" t="s">
        <v>32</v>
      </c>
      <c r="G41" s="41">
        <v>1799</v>
      </c>
      <c r="H41" s="42">
        <v>89.95</v>
      </c>
      <c r="I41" s="42">
        <v>224.875</v>
      </c>
      <c r="J41" s="42">
        <v>197.89000000000001</v>
      </c>
      <c r="K41" s="41">
        <v>2311.7149999999997</v>
      </c>
      <c r="L41" s="43">
        <v>1</v>
      </c>
      <c r="M41" s="41">
        <v>2311.7149999999997</v>
      </c>
      <c r="N41" s="41">
        <v>346.75724999999994</v>
      </c>
      <c r="O41" s="41">
        <v>1964.9577499999998</v>
      </c>
      <c r="V41"/>
      <c r="W41"/>
      <c r="X41"/>
      <c r="Y41"/>
      <c r="Z41"/>
    </row>
    <row r="42" spans="1:26" x14ac:dyDescent="0.25">
      <c r="A42" s="37">
        <v>45386</v>
      </c>
      <c r="B42" s="37" t="s">
        <v>393</v>
      </c>
      <c r="C42" s="38" t="s">
        <v>14</v>
      </c>
      <c r="D42" s="39" t="s">
        <v>55</v>
      </c>
      <c r="E42" s="40" t="s">
        <v>56</v>
      </c>
      <c r="F42" s="38" t="s">
        <v>35</v>
      </c>
      <c r="G42" s="41">
        <v>485</v>
      </c>
      <c r="H42" s="42">
        <v>24.25</v>
      </c>
      <c r="I42" s="42">
        <v>60.625</v>
      </c>
      <c r="J42" s="42">
        <v>53.35</v>
      </c>
      <c r="K42" s="41">
        <v>623.22500000000002</v>
      </c>
      <c r="L42" s="43">
        <v>6</v>
      </c>
      <c r="M42" s="41">
        <v>3739.3500000000004</v>
      </c>
      <c r="N42" s="41">
        <v>560.90250000000003</v>
      </c>
      <c r="O42" s="41">
        <v>3178.4475000000002</v>
      </c>
      <c r="V42"/>
      <c r="W42"/>
      <c r="X42"/>
      <c r="Y42"/>
      <c r="Z42"/>
    </row>
    <row r="43" spans="1:26" x14ac:dyDescent="0.25">
      <c r="A43" s="37">
        <v>45492</v>
      </c>
      <c r="B43" s="37" t="s">
        <v>396</v>
      </c>
      <c r="C43" s="38" t="s">
        <v>7</v>
      </c>
      <c r="D43" s="39" t="s">
        <v>8</v>
      </c>
      <c r="E43" s="40" t="s">
        <v>9</v>
      </c>
      <c r="F43" s="38" t="s">
        <v>35</v>
      </c>
      <c r="G43" s="41">
        <v>550</v>
      </c>
      <c r="H43" s="42">
        <v>27.5</v>
      </c>
      <c r="I43" s="42">
        <v>68.75</v>
      </c>
      <c r="J43" s="42">
        <v>60.5</v>
      </c>
      <c r="K43" s="41">
        <v>706.75</v>
      </c>
      <c r="L43" s="43">
        <v>2</v>
      </c>
      <c r="M43" s="41">
        <v>1413.5</v>
      </c>
      <c r="N43" s="41">
        <v>212.02500000000001</v>
      </c>
      <c r="O43" s="41">
        <v>1201.4749999999999</v>
      </c>
      <c r="V43"/>
      <c r="W43"/>
      <c r="X43"/>
      <c r="Y43"/>
      <c r="Z43"/>
    </row>
    <row r="44" spans="1:26" x14ac:dyDescent="0.25">
      <c r="A44" s="37">
        <v>45437</v>
      </c>
      <c r="B44" s="37" t="s">
        <v>394</v>
      </c>
      <c r="C44" s="38" t="s">
        <v>22</v>
      </c>
      <c r="D44" s="39" t="s">
        <v>41</v>
      </c>
      <c r="E44" s="40" t="s">
        <v>42</v>
      </c>
      <c r="F44" s="38" t="s">
        <v>35</v>
      </c>
      <c r="G44" s="41">
        <v>550</v>
      </c>
      <c r="H44" s="42">
        <v>27.5</v>
      </c>
      <c r="I44" s="42">
        <v>68.75</v>
      </c>
      <c r="J44" s="42">
        <v>60.5</v>
      </c>
      <c r="K44" s="41">
        <v>706.75</v>
      </c>
      <c r="L44" s="43">
        <v>2</v>
      </c>
      <c r="M44" s="41">
        <v>1413.5</v>
      </c>
      <c r="N44" s="41">
        <v>212.02500000000001</v>
      </c>
      <c r="O44" s="41">
        <v>1201.4749999999999</v>
      </c>
      <c r="V44"/>
      <c r="W44"/>
      <c r="X44"/>
      <c r="Y44"/>
      <c r="Z44"/>
    </row>
    <row r="45" spans="1:26" x14ac:dyDescent="0.25">
      <c r="A45" s="37">
        <v>45516</v>
      </c>
      <c r="B45" s="37" t="s">
        <v>391</v>
      </c>
      <c r="C45" s="38" t="s">
        <v>14</v>
      </c>
      <c r="D45" s="39" t="s">
        <v>55</v>
      </c>
      <c r="E45" s="40" t="s">
        <v>56</v>
      </c>
      <c r="F45" s="38" t="s">
        <v>37</v>
      </c>
      <c r="G45" s="41">
        <v>299</v>
      </c>
      <c r="H45" s="42">
        <v>14.950000000000001</v>
      </c>
      <c r="I45" s="42">
        <v>37.375</v>
      </c>
      <c r="J45" s="42">
        <v>32.89</v>
      </c>
      <c r="K45" s="41">
        <v>384.21499999999997</v>
      </c>
      <c r="L45" s="43">
        <v>3</v>
      </c>
      <c r="M45" s="41">
        <v>1152.645</v>
      </c>
      <c r="N45" s="41">
        <v>172.89675</v>
      </c>
      <c r="O45" s="41">
        <v>979.74824999999998</v>
      </c>
      <c r="V45"/>
      <c r="W45"/>
      <c r="X45"/>
      <c r="Y45"/>
      <c r="Z45"/>
    </row>
    <row r="46" spans="1:26" x14ac:dyDescent="0.25">
      <c r="A46" s="37">
        <v>45371</v>
      </c>
      <c r="B46" s="37" t="s">
        <v>399</v>
      </c>
      <c r="C46" s="38" t="s">
        <v>10</v>
      </c>
      <c r="D46" s="39" t="s">
        <v>11</v>
      </c>
      <c r="E46" s="40" t="s">
        <v>12</v>
      </c>
      <c r="F46" s="38" t="s">
        <v>38</v>
      </c>
      <c r="G46" s="41">
        <v>329</v>
      </c>
      <c r="H46" s="42">
        <v>16.45</v>
      </c>
      <c r="I46" s="42">
        <v>41.125</v>
      </c>
      <c r="J46" s="42">
        <v>36.19</v>
      </c>
      <c r="K46" s="41">
        <v>422.76499999999999</v>
      </c>
      <c r="L46" s="43">
        <v>1</v>
      </c>
      <c r="M46" s="41">
        <v>422.76499999999999</v>
      </c>
      <c r="N46" s="41">
        <v>63.414749999999998</v>
      </c>
      <c r="O46" s="41">
        <v>359.35024999999996</v>
      </c>
      <c r="V46"/>
      <c r="W46"/>
      <c r="X46"/>
      <c r="Y46"/>
      <c r="Z46"/>
    </row>
    <row r="47" spans="1:26" x14ac:dyDescent="0.25">
      <c r="A47" s="37">
        <v>45396</v>
      </c>
      <c r="B47" s="37" t="s">
        <v>393</v>
      </c>
      <c r="C47" s="38" t="s">
        <v>14</v>
      </c>
      <c r="D47" s="39" t="s">
        <v>55</v>
      </c>
      <c r="E47" s="40" t="s">
        <v>56</v>
      </c>
      <c r="F47" s="38" t="s">
        <v>38</v>
      </c>
      <c r="G47" s="41">
        <v>329</v>
      </c>
      <c r="H47" s="42">
        <v>16.45</v>
      </c>
      <c r="I47" s="42">
        <v>41.125</v>
      </c>
      <c r="J47" s="42">
        <v>36.19</v>
      </c>
      <c r="K47" s="41">
        <v>422.76499999999999</v>
      </c>
      <c r="L47" s="43">
        <v>1</v>
      </c>
      <c r="M47" s="41">
        <v>422.76499999999999</v>
      </c>
      <c r="N47" s="41">
        <v>63.414749999999998</v>
      </c>
      <c r="O47" s="41">
        <v>359.35024999999996</v>
      </c>
      <c r="V47"/>
      <c r="W47"/>
      <c r="X47"/>
      <c r="Y47"/>
      <c r="Z47"/>
    </row>
    <row r="48" spans="1:26" x14ac:dyDescent="0.25">
      <c r="A48" s="37">
        <v>45624</v>
      </c>
      <c r="B48" s="37" t="s">
        <v>395</v>
      </c>
      <c r="C48" s="38" t="s">
        <v>22</v>
      </c>
      <c r="D48" s="39" t="s">
        <v>23</v>
      </c>
      <c r="E48" s="40" t="s">
        <v>24</v>
      </c>
      <c r="F48" s="38" t="s">
        <v>43</v>
      </c>
      <c r="G48" s="41">
        <v>1329</v>
      </c>
      <c r="H48" s="42">
        <v>66.45</v>
      </c>
      <c r="I48" s="42">
        <v>166.125</v>
      </c>
      <c r="J48" s="42">
        <v>146.19</v>
      </c>
      <c r="K48" s="41">
        <v>1707.7650000000001</v>
      </c>
      <c r="L48" s="43">
        <v>7</v>
      </c>
      <c r="M48" s="41">
        <v>11954.355000000001</v>
      </c>
      <c r="N48" s="41">
        <v>1793.1532500000001</v>
      </c>
      <c r="O48" s="41">
        <v>10161.201750000002</v>
      </c>
      <c r="V48"/>
      <c r="W48"/>
      <c r="X48"/>
      <c r="Y48"/>
      <c r="Z48"/>
    </row>
    <row r="49" spans="1:26" x14ac:dyDescent="0.25">
      <c r="A49" s="37">
        <v>45451</v>
      </c>
      <c r="B49" s="37" t="s">
        <v>389</v>
      </c>
      <c r="C49" s="38" t="s">
        <v>7</v>
      </c>
      <c r="D49" s="39" t="s">
        <v>18</v>
      </c>
      <c r="E49" s="40" t="s">
        <v>19</v>
      </c>
      <c r="F49" s="38" t="s">
        <v>17</v>
      </c>
      <c r="G49" s="41">
        <v>519</v>
      </c>
      <c r="H49" s="42">
        <v>25.950000000000003</v>
      </c>
      <c r="I49" s="42">
        <v>64.875</v>
      </c>
      <c r="J49" s="42">
        <v>57.09</v>
      </c>
      <c r="K49" s="41">
        <v>666.91500000000008</v>
      </c>
      <c r="L49" s="43">
        <v>4</v>
      </c>
      <c r="M49" s="41">
        <v>2667.6600000000003</v>
      </c>
      <c r="N49" s="41">
        <v>400.14900000000006</v>
      </c>
      <c r="O49" s="41">
        <v>2267.5110000000004</v>
      </c>
      <c r="V49"/>
      <c r="W49"/>
      <c r="X49"/>
      <c r="Y49"/>
      <c r="Z49"/>
    </row>
    <row r="50" spans="1:26" x14ac:dyDescent="0.25">
      <c r="A50" s="37">
        <v>45575</v>
      </c>
      <c r="B50" s="37" t="s">
        <v>392</v>
      </c>
      <c r="C50" s="38" t="s">
        <v>22</v>
      </c>
      <c r="D50" s="39" t="s">
        <v>33</v>
      </c>
      <c r="E50" s="40" t="s">
        <v>34</v>
      </c>
      <c r="F50" s="38" t="s">
        <v>20</v>
      </c>
      <c r="G50" s="41">
        <v>899</v>
      </c>
      <c r="H50" s="42">
        <v>44.95</v>
      </c>
      <c r="I50" s="42">
        <v>112.375</v>
      </c>
      <c r="J50" s="42">
        <v>98.89</v>
      </c>
      <c r="K50" s="41">
        <v>1155.2150000000001</v>
      </c>
      <c r="L50" s="43">
        <v>5</v>
      </c>
      <c r="M50" s="41">
        <v>5776.0750000000007</v>
      </c>
      <c r="N50" s="41">
        <v>866.41125000000011</v>
      </c>
      <c r="O50" s="41">
        <v>4909.6637500000006</v>
      </c>
      <c r="V50"/>
      <c r="W50"/>
      <c r="X50"/>
      <c r="Y50"/>
      <c r="Z50"/>
    </row>
    <row r="51" spans="1:26" x14ac:dyDescent="0.25">
      <c r="A51" s="37">
        <v>45420</v>
      </c>
      <c r="B51" s="37" t="s">
        <v>394</v>
      </c>
      <c r="C51" s="38" t="s">
        <v>7</v>
      </c>
      <c r="D51" s="39" t="s">
        <v>8</v>
      </c>
      <c r="E51" s="40" t="s">
        <v>9</v>
      </c>
      <c r="F51" s="38" t="s">
        <v>57</v>
      </c>
      <c r="G51" s="41">
        <v>1299</v>
      </c>
      <c r="H51" s="42">
        <v>64.95</v>
      </c>
      <c r="I51" s="42">
        <v>162.375</v>
      </c>
      <c r="J51" s="42">
        <v>142.89000000000001</v>
      </c>
      <c r="K51" s="41">
        <v>1669.2150000000001</v>
      </c>
      <c r="L51" s="43">
        <v>1</v>
      </c>
      <c r="M51" s="41">
        <v>1669.2150000000001</v>
      </c>
      <c r="N51" s="41">
        <v>250.38225</v>
      </c>
      <c r="O51" s="41">
        <v>1418.83275</v>
      </c>
      <c r="V51"/>
      <c r="W51"/>
      <c r="X51"/>
      <c r="Y51"/>
      <c r="Z51"/>
    </row>
    <row r="52" spans="1:26" x14ac:dyDescent="0.25">
      <c r="A52" s="37">
        <v>45292</v>
      </c>
      <c r="B52" s="37" t="s">
        <v>390</v>
      </c>
      <c r="C52" s="38" t="s">
        <v>14</v>
      </c>
      <c r="D52" s="39" t="s">
        <v>15</v>
      </c>
      <c r="E52" s="40" t="s">
        <v>16</v>
      </c>
      <c r="F52" s="38" t="s">
        <v>46</v>
      </c>
      <c r="G52" s="41">
        <v>499</v>
      </c>
      <c r="H52" s="42">
        <v>24.950000000000003</v>
      </c>
      <c r="I52" s="42">
        <v>62.375</v>
      </c>
      <c r="J52" s="42">
        <v>54.89</v>
      </c>
      <c r="K52" s="41">
        <v>641.21500000000003</v>
      </c>
      <c r="L52" s="43">
        <v>1</v>
      </c>
      <c r="M52" s="41">
        <v>641.21500000000003</v>
      </c>
      <c r="N52" s="41">
        <v>96.182249999999996</v>
      </c>
      <c r="O52" s="41">
        <v>545.03275000000008</v>
      </c>
      <c r="V52"/>
      <c r="W52"/>
      <c r="X52"/>
      <c r="Y52"/>
      <c r="Z52"/>
    </row>
    <row r="53" spans="1:26" x14ac:dyDescent="0.25">
      <c r="A53" s="37">
        <v>45620</v>
      </c>
      <c r="B53" s="37" t="s">
        <v>395</v>
      </c>
      <c r="C53" s="38" t="s">
        <v>7</v>
      </c>
      <c r="D53" s="39" t="s">
        <v>18</v>
      </c>
      <c r="E53" s="40" t="s">
        <v>19</v>
      </c>
      <c r="F53" s="38" t="s">
        <v>46</v>
      </c>
      <c r="G53" s="41">
        <v>499</v>
      </c>
      <c r="H53" s="42">
        <v>24.950000000000003</v>
      </c>
      <c r="I53" s="42">
        <v>62.375</v>
      </c>
      <c r="J53" s="42">
        <v>54.89</v>
      </c>
      <c r="K53" s="41">
        <v>641.21500000000003</v>
      </c>
      <c r="L53" s="43">
        <v>3</v>
      </c>
      <c r="M53" s="41">
        <v>1923.645</v>
      </c>
      <c r="N53" s="41">
        <v>288.54674999999997</v>
      </c>
      <c r="O53" s="41">
        <v>1635.09825</v>
      </c>
      <c r="V53"/>
      <c r="W53"/>
      <c r="X53"/>
      <c r="Y53"/>
      <c r="Z53"/>
    </row>
    <row r="54" spans="1:26" x14ac:dyDescent="0.25">
      <c r="A54" s="37">
        <v>45346</v>
      </c>
      <c r="B54" s="37" t="s">
        <v>400</v>
      </c>
      <c r="C54" s="38" t="s">
        <v>3</v>
      </c>
      <c r="D54" s="39" t="s">
        <v>25</v>
      </c>
      <c r="E54" s="40" t="s">
        <v>26</v>
      </c>
      <c r="F54" s="38" t="s">
        <v>47</v>
      </c>
      <c r="G54" s="41">
        <v>1299</v>
      </c>
      <c r="H54" s="42">
        <v>64.95</v>
      </c>
      <c r="I54" s="42">
        <v>162.375</v>
      </c>
      <c r="J54" s="42">
        <v>142.89000000000001</v>
      </c>
      <c r="K54" s="41">
        <v>1669.2150000000001</v>
      </c>
      <c r="L54" s="43">
        <v>1</v>
      </c>
      <c r="M54" s="41">
        <v>1669.2150000000001</v>
      </c>
      <c r="N54" s="41">
        <v>250.38225</v>
      </c>
      <c r="O54" s="41">
        <v>1418.83275</v>
      </c>
      <c r="V54"/>
      <c r="W54"/>
      <c r="X54"/>
      <c r="Y54"/>
      <c r="Z54"/>
    </row>
    <row r="55" spans="1:26" x14ac:dyDescent="0.25">
      <c r="A55" s="37">
        <v>45312</v>
      </c>
      <c r="B55" s="37" t="s">
        <v>390</v>
      </c>
      <c r="C55" s="38" t="s">
        <v>10</v>
      </c>
      <c r="D55" s="39" t="s">
        <v>28</v>
      </c>
      <c r="E55" s="40" t="s">
        <v>29</v>
      </c>
      <c r="F55" s="38" t="s">
        <v>47</v>
      </c>
      <c r="G55" s="41">
        <v>1299</v>
      </c>
      <c r="H55" s="42">
        <v>64.95</v>
      </c>
      <c r="I55" s="42">
        <v>162.375</v>
      </c>
      <c r="J55" s="42">
        <v>142.89000000000001</v>
      </c>
      <c r="K55" s="41">
        <v>1669.2150000000001</v>
      </c>
      <c r="L55" s="43">
        <v>6</v>
      </c>
      <c r="M55" s="41">
        <v>10015.290000000001</v>
      </c>
      <c r="N55" s="41">
        <v>1502.2935</v>
      </c>
      <c r="O55" s="41">
        <v>8512.9965000000011</v>
      </c>
      <c r="V55"/>
      <c r="W55"/>
      <c r="X55"/>
      <c r="Y55"/>
      <c r="Z55"/>
    </row>
    <row r="56" spans="1:26" x14ac:dyDescent="0.25">
      <c r="A56" s="37">
        <v>45430</v>
      </c>
      <c r="B56" s="37" t="s">
        <v>394</v>
      </c>
      <c r="C56" s="38" t="s">
        <v>3</v>
      </c>
      <c r="D56" s="39" t="s">
        <v>4</v>
      </c>
      <c r="E56" s="40" t="s">
        <v>5</v>
      </c>
      <c r="F56" s="38" t="s">
        <v>49</v>
      </c>
      <c r="G56" s="41">
        <v>349</v>
      </c>
      <c r="H56" s="42">
        <v>17.45</v>
      </c>
      <c r="I56" s="42">
        <v>43.625</v>
      </c>
      <c r="J56" s="42">
        <v>38.39</v>
      </c>
      <c r="K56" s="41">
        <v>448.46499999999997</v>
      </c>
      <c r="L56" s="43">
        <v>1</v>
      </c>
      <c r="M56" s="41">
        <v>448.46499999999997</v>
      </c>
      <c r="N56" s="41">
        <v>67.269749999999988</v>
      </c>
      <c r="O56" s="41">
        <v>381.19524999999999</v>
      </c>
      <c r="V56"/>
      <c r="W56"/>
      <c r="X56"/>
      <c r="Y56"/>
      <c r="Z56"/>
    </row>
    <row r="57" spans="1:26" x14ac:dyDescent="0.25">
      <c r="A57" s="37">
        <v>45321</v>
      </c>
      <c r="B57" s="37" t="s">
        <v>390</v>
      </c>
      <c r="C57" s="38" t="s">
        <v>14</v>
      </c>
      <c r="D57" s="39" t="s">
        <v>55</v>
      </c>
      <c r="E57" s="40" t="s">
        <v>56</v>
      </c>
      <c r="F57" s="38" t="s">
        <v>58</v>
      </c>
      <c r="G57" s="41">
        <v>350</v>
      </c>
      <c r="H57" s="42">
        <v>17.5</v>
      </c>
      <c r="I57" s="42">
        <v>43.75</v>
      </c>
      <c r="J57" s="42">
        <v>38.5</v>
      </c>
      <c r="K57" s="41">
        <v>449.75</v>
      </c>
      <c r="L57" s="43">
        <v>1</v>
      </c>
      <c r="M57" s="41">
        <v>449.75</v>
      </c>
      <c r="N57" s="41">
        <v>67.462499999999991</v>
      </c>
      <c r="O57" s="41">
        <v>382.28750000000002</v>
      </c>
      <c r="V57"/>
      <c r="W57"/>
      <c r="X57"/>
      <c r="Y57"/>
      <c r="Z57"/>
    </row>
    <row r="58" spans="1:26" x14ac:dyDescent="0.25">
      <c r="A58" s="37">
        <v>45583</v>
      </c>
      <c r="B58" s="37" t="s">
        <v>392</v>
      </c>
      <c r="C58" s="38" t="s">
        <v>22</v>
      </c>
      <c r="D58" s="39" t="s">
        <v>23</v>
      </c>
      <c r="E58" s="40" t="s">
        <v>24</v>
      </c>
      <c r="F58" s="38" t="s">
        <v>58</v>
      </c>
      <c r="G58" s="41">
        <v>369</v>
      </c>
      <c r="H58" s="42">
        <v>18.45</v>
      </c>
      <c r="I58" s="42">
        <v>46.125</v>
      </c>
      <c r="J58" s="42">
        <v>40.590000000000003</v>
      </c>
      <c r="K58" s="41">
        <v>474.16499999999996</v>
      </c>
      <c r="L58" s="43">
        <v>5</v>
      </c>
      <c r="M58" s="41">
        <v>2370.8249999999998</v>
      </c>
      <c r="N58" s="41">
        <v>355.62374999999997</v>
      </c>
      <c r="O58" s="41">
        <v>2015.2012499999998</v>
      </c>
      <c r="V58"/>
      <c r="W58"/>
      <c r="X58"/>
      <c r="Y58"/>
      <c r="Z58"/>
    </row>
    <row r="59" spans="1:26" x14ac:dyDescent="0.25">
      <c r="A59" s="37">
        <v>45437</v>
      </c>
      <c r="B59" s="37" t="s">
        <v>394</v>
      </c>
      <c r="C59" s="38" t="s">
        <v>3</v>
      </c>
      <c r="D59" s="39" t="s">
        <v>4</v>
      </c>
      <c r="E59" s="40" t="s">
        <v>5</v>
      </c>
      <c r="F59" s="38" t="s">
        <v>50</v>
      </c>
      <c r="G59" s="41">
        <v>31.9</v>
      </c>
      <c r="H59" s="42">
        <v>1.595</v>
      </c>
      <c r="I59" s="42">
        <v>3.9874999999999998</v>
      </c>
      <c r="J59" s="42">
        <v>3.5089999999999999</v>
      </c>
      <c r="K59" s="41">
        <v>40.991499999999995</v>
      </c>
      <c r="L59" s="43">
        <v>2</v>
      </c>
      <c r="M59" s="41">
        <v>81.98299999999999</v>
      </c>
      <c r="N59" s="41">
        <v>12.297449999999998</v>
      </c>
      <c r="O59" s="41">
        <v>69.685549999999992</v>
      </c>
      <c r="V59"/>
      <c r="W59"/>
      <c r="X59"/>
      <c r="Y59"/>
      <c r="Z59"/>
    </row>
    <row r="60" spans="1:26" x14ac:dyDescent="0.25">
      <c r="A60" s="37">
        <v>45444</v>
      </c>
      <c r="B60" s="37" t="s">
        <v>389</v>
      </c>
      <c r="C60" s="38" t="s">
        <v>14</v>
      </c>
      <c r="D60" s="39" t="s">
        <v>15</v>
      </c>
      <c r="E60" s="40" t="s">
        <v>16</v>
      </c>
      <c r="F60" s="38" t="s">
        <v>51</v>
      </c>
      <c r="G60" s="41">
        <v>299</v>
      </c>
      <c r="H60" s="42">
        <v>14.950000000000001</v>
      </c>
      <c r="I60" s="42">
        <v>37.375</v>
      </c>
      <c r="J60" s="42">
        <v>32.89</v>
      </c>
      <c r="K60" s="41">
        <v>384.21499999999997</v>
      </c>
      <c r="L60" s="43">
        <v>5</v>
      </c>
      <c r="M60" s="41">
        <v>1921.0749999999998</v>
      </c>
      <c r="N60" s="41">
        <v>288.16124999999994</v>
      </c>
      <c r="O60" s="41">
        <v>1632.9137499999999</v>
      </c>
      <c r="V60"/>
      <c r="W60"/>
      <c r="X60"/>
      <c r="Y60"/>
      <c r="Z60"/>
    </row>
    <row r="61" spans="1:26" x14ac:dyDescent="0.25">
      <c r="A61" s="37">
        <v>45336</v>
      </c>
      <c r="B61" s="37" t="s">
        <v>400</v>
      </c>
      <c r="C61" s="38" t="s">
        <v>22</v>
      </c>
      <c r="D61" s="39" t="s">
        <v>23</v>
      </c>
      <c r="E61" s="40" t="s">
        <v>24</v>
      </c>
      <c r="F61" s="38" t="s">
        <v>59</v>
      </c>
      <c r="G61" s="41">
        <v>3499</v>
      </c>
      <c r="H61" s="42">
        <v>174.95000000000002</v>
      </c>
      <c r="I61" s="42">
        <v>437.375</v>
      </c>
      <c r="J61" s="42">
        <v>384.89</v>
      </c>
      <c r="K61" s="41">
        <v>4496.2150000000001</v>
      </c>
      <c r="L61" s="43">
        <v>1</v>
      </c>
      <c r="M61" s="41">
        <v>4496.2150000000001</v>
      </c>
      <c r="N61" s="41">
        <v>674.43224999999995</v>
      </c>
      <c r="O61" s="41">
        <v>3821.7827500000003</v>
      </c>
      <c r="V61"/>
      <c r="W61"/>
      <c r="X61"/>
      <c r="Y61"/>
      <c r="Z61"/>
    </row>
    <row r="62" spans="1:26" x14ac:dyDescent="0.25">
      <c r="A62" s="37">
        <v>45569</v>
      </c>
      <c r="B62" s="37" t="s">
        <v>392</v>
      </c>
      <c r="C62" s="38" t="s">
        <v>7</v>
      </c>
      <c r="D62" s="39" t="s">
        <v>8</v>
      </c>
      <c r="E62" s="40" t="s">
        <v>9</v>
      </c>
      <c r="F62" s="38" t="s">
        <v>59</v>
      </c>
      <c r="G62" s="41">
        <v>3499</v>
      </c>
      <c r="H62" s="42">
        <v>174.95000000000002</v>
      </c>
      <c r="I62" s="42">
        <v>437.375</v>
      </c>
      <c r="J62" s="42">
        <v>384.89</v>
      </c>
      <c r="K62" s="41">
        <v>4496.2150000000001</v>
      </c>
      <c r="L62" s="43">
        <v>1</v>
      </c>
      <c r="M62" s="41">
        <v>4496.2150000000001</v>
      </c>
      <c r="N62" s="41">
        <v>674.43224999999995</v>
      </c>
      <c r="O62" s="41">
        <v>3821.7827500000003</v>
      </c>
      <c r="V62"/>
      <c r="W62"/>
      <c r="X62"/>
      <c r="Y62"/>
      <c r="Z62"/>
    </row>
    <row r="63" spans="1:26" x14ac:dyDescent="0.25">
      <c r="A63" s="37">
        <v>45554</v>
      </c>
      <c r="B63" s="37" t="s">
        <v>398</v>
      </c>
      <c r="C63" s="38" t="s">
        <v>14</v>
      </c>
      <c r="D63" s="39" t="s">
        <v>53</v>
      </c>
      <c r="E63" s="40" t="s">
        <v>54</v>
      </c>
      <c r="F63" s="38" t="s">
        <v>27</v>
      </c>
      <c r="G63" s="41">
        <v>7999</v>
      </c>
      <c r="H63" s="42">
        <v>399.95000000000005</v>
      </c>
      <c r="I63" s="42">
        <v>999.875</v>
      </c>
      <c r="J63" s="42">
        <v>879.89</v>
      </c>
      <c r="K63" s="41">
        <v>10278.715</v>
      </c>
      <c r="L63" s="43">
        <v>1</v>
      </c>
      <c r="M63" s="41">
        <v>10278.715</v>
      </c>
      <c r="N63" s="41">
        <v>1541.8072500000001</v>
      </c>
      <c r="O63" s="41">
        <v>8736.9077500000003</v>
      </c>
      <c r="V63"/>
      <c r="W63"/>
      <c r="X63"/>
      <c r="Y63"/>
      <c r="Z63"/>
    </row>
    <row r="64" spans="1:26" x14ac:dyDescent="0.25">
      <c r="A64" s="37">
        <v>45585</v>
      </c>
      <c r="B64" s="37" t="s">
        <v>392</v>
      </c>
      <c r="C64" s="38" t="s">
        <v>22</v>
      </c>
      <c r="D64" s="39" t="s">
        <v>23</v>
      </c>
      <c r="E64" s="40" t="s">
        <v>24</v>
      </c>
      <c r="F64" s="38" t="s">
        <v>27</v>
      </c>
      <c r="G64" s="41">
        <v>6000</v>
      </c>
      <c r="H64" s="42">
        <v>300</v>
      </c>
      <c r="I64" s="42">
        <v>750</v>
      </c>
      <c r="J64" s="42">
        <v>660</v>
      </c>
      <c r="K64" s="41">
        <v>7710</v>
      </c>
      <c r="L64" s="43">
        <v>2</v>
      </c>
      <c r="M64" s="41">
        <v>15420</v>
      </c>
      <c r="N64" s="41">
        <v>2313</v>
      </c>
      <c r="O64" s="41">
        <v>13107</v>
      </c>
      <c r="V64"/>
      <c r="W64"/>
      <c r="X64"/>
      <c r="Y64"/>
      <c r="Z64"/>
    </row>
    <row r="65" spans="1:26" x14ac:dyDescent="0.25">
      <c r="A65" s="37">
        <v>45477</v>
      </c>
      <c r="B65" s="37" t="s">
        <v>396</v>
      </c>
      <c r="C65" s="38" t="s">
        <v>14</v>
      </c>
      <c r="D65" s="39" t="s">
        <v>15</v>
      </c>
      <c r="E65" s="40" t="s">
        <v>16</v>
      </c>
      <c r="F65" s="38" t="s">
        <v>30</v>
      </c>
      <c r="G65" s="41">
        <v>5299</v>
      </c>
      <c r="H65" s="42">
        <v>264.95</v>
      </c>
      <c r="I65" s="42">
        <v>662.375</v>
      </c>
      <c r="J65" s="42">
        <v>582.89</v>
      </c>
      <c r="K65" s="41">
        <v>6809.2150000000001</v>
      </c>
      <c r="L65" s="43">
        <v>5</v>
      </c>
      <c r="M65" s="41">
        <v>34046.074999999997</v>
      </c>
      <c r="N65" s="41">
        <v>5106.9112499999992</v>
      </c>
      <c r="O65" s="41">
        <v>28939.16375</v>
      </c>
      <c r="V65"/>
      <c r="W65"/>
      <c r="X65"/>
      <c r="Y65"/>
      <c r="Z65"/>
    </row>
    <row r="66" spans="1:26" x14ac:dyDescent="0.25">
      <c r="A66" s="37">
        <v>45413</v>
      </c>
      <c r="B66" s="37" t="s">
        <v>394</v>
      </c>
      <c r="C66" s="38" t="s">
        <v>7</v>
      </c>
      <c r="D66" s="39" t="s">
        <v>18</v>
      </c>
      <c r="E66" s="40" t="s">
        <v>19</v>
      </c>
      <c r="F66" s="38" t="s">
        <v>30</v>
      </c>
      <c r="G66" s="41">
        <v>5299</v>
      </c>
      <c r="H66" s="42">
        <v>264.95</v>
      </c>
      <c r="I66" s="42">
        <v>662.375</v>
      </c>
      <c r="J66" s="42">
        <v>582.89</v>
      </c>
      <c r="K66" s="41">
        <v>6809.2150000000001</v>
      </c>
      <c r="L66" s="43">
        <v>4</v>
      </c>
      <c r="M66" s="41">
        <v>27236.86</v>
      </c>
      <c r="N66" s="41">
        <v>4085.529</v>
      </c>
      <c r="O66" s="41">
        <v>23151.331000000002</v>
      </c>
      <c r="V66"/>
      <c r="W66"/>
      <c r="X66"/>
      <c r="Y66"/>
      <c r="Z66"/>
    </row>
    <row r="67" spans="1:26" x14ac:dyDescent="0.25">
      <c r="A67" s="37">
        <v>45302</v>
      </c>
      <c r="B67" s="37" t="s">
        <v>390</v>
      </c>
      <c r="C67" s="38" t="s">
        <v>7</v>
      </c>
      <c r="D67" s="39" t="s">
        <v>8</v>
      </c>
      <c r="E67" s="40" t="s">
        <v>9</v>
      </c>
      <c r="F67" s="38" t="s">
        <v>31</v>
      </c>
      <c r="G67" s="41">
        <v>5999</v>
      </c>
      <c r="H67" s="42">
        <v>299.95</v>
      </c>
      <c r="I67" s="42">
        <v>749.875</v>
      </c>
      <c r="J67" s="42">
        <v>659.89</v>
      </c>
      <c r="K67" s="41">
        <v>7708.7150000000001</v>
      </c>
      <c r="L67" s="43">
        <v>1</v>
      </c>
      <c r="M67" s="41">
        <v>7708.7150000000001</v>
      </c>
      <c r="N67" s="41">
        <v>1156.3072500000001</v>
      </c>
      <c r="O67" s="41">
        <v>6552.4077500000003</v>
      </c>
    </row>
    <row r="68" spans="1:26" x14ac:dyDescent="0.25">
      <c r="A68" s="37">
        <v>45305</v>
      </c>
      <c r="B68" s="37" t="s">
        <v>390</v>
      </c>
      <c r="C68" s="38" t="s">
        <v>14</v>
      </c>
      <c r="D68" s="39" t="s">
        <v>53</v>
      </c>
      <c r="E68" s="40" t="s">
        <v>54</v>
      </c>
      <c r="F68" s="38" t="s">
        <v>60</v>
      </c>
      <c r="G68" s="41">
        <v>2699</v>
      </c>
      <c r="H68" s="42">
        <v>134.95000000000002</v>
      </c>
      <c r="I68" s="42">
        <v>337.375</v>
      </c>
      <c r="J68" s="42">
        <v>296.89</v>
      </c>
      <c r="K68" s="41">
        <v>3468.2149999999997</v>
      </c>
      <c r="L68" s="43">
        <v>6</v>
      </c>
      <c r="M68" s="41">
        <v>20809.289999999997</v>
      </c>
      <c r="N68" s="41">
        <v>3121.3934999999997</v>
      </c>
      <c r="O68" s="41">
        <v>17687.896499999999</v>
      </c>
    </row>
    <row r="69" spans="1:26" x14ac:dyDescent="0.25">
      <c r="A69" s="37">
        <v>45507</v>
      </c>
      <c r="B69" s="37" t="s">
        <v>391</v>
      </c>
      <c r="C69" s="38" t="s">
        <v>3</v>
      </c>
      <c r="D69" s="39" t="s">
        <v>44</v>
      </c>
      <c r="E69" s="40" t="s">
        <v>45</v>
      </c>
      <c r="F69" s="38" t="s">
        <v>60</v>
      </c>
      <c r="G69" s="41">
        <v>2699</v>
      </c>
      <c r="H69" s="42">
        <v>134.95000000000002</v>
      </c>
      <c r="I69" s="42">
        <v>337.375</v>
      </c>
      <c r="J69" s="42">
        <v>296.89</v>
      </c>
      <c r="K69" s="41">
        <v>3468.2149999999997</v>
      </c>
      <c r="L69" s="43">
        <v>8</v>
      </c>
      <c r="M69" s="41">
        <v>27745.719999999998</v>
      </c>
      <c r="N69" s="41">
        <v>4161.8579999999993</v>
      </c>
      <c r="O69" s="41">
        <v>23583.861999999997</v>
      </c>
    </row>
    <row r="70" spans="1:26" x14ac:dyDescent="0.25">
      <c r="A70" s="37">
        <v>45293</v>
      </c>
      <c r="B70" s="37" t="s">
        <v>390</v>
      </c>
      <c r="C70" s="38" t="s">
        <v>10</v>
      </c>
      <c r="D70" s="39" t="s">
        <v>11</v>
      </c>
      <c r="E70" s="40" t="s">
        <v>12</v>
      </c>
      <c r="F70" s="38" t="s">
        <v>35</v>
      </c>
      <c r="G70" s="41">
        <v>550</v>
      </c>
      <c r="H70" s="42">
        <v>27.5</v>
      </c>
      <c r="I70" s="42">
        <v>68.75</v>
      </c>
      <c r="J70" s="42">
        <v>60.5</v>
      </c>
      <c r="K70" s="41">
        <v>706.75</v>
      </c>
      <c r="L70" s="43">
        <v>1</v>
      </c>
      <c r="M70" s="41">
        <v>706.75</v>
      </c>
      <c r="N70" s="41">
        <v>106.0125</v>
      </c>
      <c r="O70" s="41">
        <v>600.73749999999995</v>
      </c>
    </row>
    <row r="71" spans="1:26" x14ac:dyDescent="0.25">
      <c r="A71" s="37">
        <v>45538</v>
      </c>
      <c r="B71" s="37" t="s">
        <v>398</v>
      </c>
      <c r="C71" s="38" t="s">
        <v>7</v>
      </c>
      <c r="D71" s="39" t="s">
        <v>18</v>
      </c>
      <c r="E71" s="40" t="s">
        <v>19</v>
      </c>
      <c r="F71" s="38" t="s">
        <v>61</v>
      </c>
      <c r="G71" s="41">
        <v>279</v>
      </c>
      <c r="H71" s="42">
        <v>13.950000000000001</v>
      </c>
      <c r="I71" s="42">
        <v>34.875</v>
      </c>
      <c r="J71" s="42">
        <v>30.69</v>
      </c>
      <c r="K71" s="41">
        <v>358.51499999999999</v>
      </c>
      <c r="L71" s="43">
        <v>3</v>
      </c>
      <c r="M71" s="41">
        <v>1075.5450000000001</v>
      </c>
      <c r="N71" s="41">
        <v>161.33175</v>
      </c>
      <c r="O71" s="41">
        <v>914.21325000000002</v>
      </c>
    </row>
    <row r="72" spans="1:26" x14ac:dyDescent="0.25">
      <c r="A72" s="37">
        <v>45534</v>
      </c>
      <c r="B72" s="37" t="s">
        <v>391</v>
      </c>
      <c r="C72" s="38" t="s">
        <v>7</v>
      </c>
      <c r="D72" s="39" t="s">
        <v>8</v>
      </c>
      <c r="E72" s="40" t="s">
        <v>9</v>
      </c>
      <c r="F72" s="38" t="s">
        <v>36</v>
      </c>
      <c r="G72" s="41">
        <v>499</v>
      </c>
      <c r="H72" s="42">
        <v>24.950000000000003</v>
      </c>
      <c r="I72" s="42">
        <v>62.375</v>
      </c>
      <c r="J72" s="42">
        <v>54.89</v>
      </c>
      <c r="K72" s="41">
        <v>641.21500000000003</v>
      </c>
      <c r="L72" s="43">
        <v>4</v>
      </c>
      <c r="M72" s="41">
        <v>2564.86</v>
      </c>
      <c r="N72" s="41">
        <v>384.72899999999998</v>
      </c>
      <c r="O72" s="41">
        <v>2180.1310000000003</v>
      </c>
    </row>
    <row r="73" spans="1:26" x14ac:dyDescent="0.25">
      <c r="A73" s="37">
        <v>45513</v>
      </c>
      <c r="B73" s="37" t="s">
        <v>391</v>
      </c>
      <c r="C73" s="38" t="s">
        <v>3</v>
      </c>
      <c r="D73" s="39" t="s">
        <v>4</v>
      </c>
      <c r="E73" s="40" t="s">
        <v>5</v>
      </c>
      <c r="F73" s="38" t="s">
        <v>37</v>
      </c>
      <c r="G73" s="41">
        <v>299</v>
      </c>
      <c r="H73" s="42">
        <v>14.950000000000001</v>
      </c>
      <c r="I73" s="42">
        <v>37.375</v>
      </c>
      <c r="J73" s="42">
        <v>32.89</v>
      </c>
      <c r="K73" s="41">
        <v>384.21499999999997</v>
      </c>
      <c r="L73" s="43">
        <v>8</v>
      </c>
      <c r="M73" s="41">
        <v>3073.72</v>
      </c>
      <c r="N73" s="41">
        <v>461.05799999999994</v>
      </c>
      <c r="O73" s="41">
        <v>2612.6619999999998</v>
      </c>
    </row>
    <row r="74" spans="1:26" x14ac:dyDescent="0.25">
      <c r="A74" s="37">
        <v>45390</v>
      </c>
      <c r="B74" s="37" t="s">
        <v>393</v>
      </c>
      <c r="C74" s="38" t="s">
        <v>10</v>
      </c>
      <c r="D74" s="39" t="s">
        <v>62</v>
      </c>
      <c r="E74" s="40" t="s">
        <v>63</v>
      </c>
      <c r="F74" s="38" t="s">
        <v>64</v>
      </c>
      <c r="G74" s="41">
        <v>419</v>
      </c>
      <c r="H74" s="42">
        <v>20.950000000000003</v>
      </c>
      <c r="I74" s="42">
        <v>52.375</v>
      </c>
      <c r="J74" s="42">
        <v>46.09</v>
      </c>
      <c r="K74" s="41">
        <v>538.41499999999996</v>
      </c>
      <c r="L74" s="43">
        <v>7</v>
      </c>
      <c r="M74" s="41">
        <v>3768.9049999999997</v>
      </c>
      <c r="N74" s="41">
        <v>565.33574999999996</v>
      </c>
      <c r="O74" s="41">
        <v>3203.5692499999996</v>
      </c>
    </row>
    <row r="75" spans="1:26" x14ac:dyDescent="0.25">
      <c r="A75" s="37">
        <v>45489</v>
      </c>
      <c r="B75" s="37" t="s">
        <v>396</v>
      </c>
      <c r="C75" s="38" t="s">
        <v>7</v>
      </c>
      <c r="D75" s="39" t="s">
        <v>18</v>
      </c>
      <c r="E75" s="40" t="s">
        <v>19</v>
      </c>
      <c r="F75" s="38" t="s">
        <v>47</v>
      </c>
      <c r="G75" s="41">
        <v>1299</v>
      </c>
      <c r="H75" s="42">
        <v>64.95</v>
      </c>
      <c r="I75" s="42">
        <v>162.375</v>
      </c>
      <c r="J75" s="42">
        <v>142.89000000000001</v>
      </c>
      <c r="K75" s="41">
        <v>1669.2150000000001</v>
      </c>
      <c r="L75" s="43">
        <v>6</v>
      </c>
      <c r="M75" s="41">
        <v>10015.290000000001</v>
      </c>
      <c r="N75" s="41">
        <v>1502.2935</v>
      </c>
      <c r="O75" s="41">
        <v>8512.9965000000011</v>
      </c>
    </row>
    <row r="76" spans="1:26" x14ac:dyDescent="0.25">
      <c r="A76" s="37">
        <v>45565</v>
      </c>
      <c r="B76" s="37" t="s">
        <v>398</v>
      </c>
      <c r="C76" s="38" t="s">
        <v>14</v>
      </c>
      <c r="D76" s="39" t="s">
        <v>15</v>
      </c>
      <c r="E76" s="40" t="s">
        <v>16</v>
      </c>
      <c r="F76" s="38" t="s">
        <v>48</v>
      </c>
      <c r="G76" s="41">
        <v>199.9</v>
      </c>
      <c r="H76" s="42">
        <v>9.995000000000001</v>
      </c>
      <c r="I76" s="42">
        <v>24.987500000000001</v>
      </c>
      <c r="J76" s="42">
        <v>21.989000000000001</v>
      </c>
      <c r="K76" s="41">
        <v>256.87150000000003</v>
      </c>
      <c r="L76" s="43">
        <v>6</v>
      </c>
      <c r="M76" s="41">
        <v>1541.2290000000003</v>
      </c>
      <c r="N76" s="41">
        <v>231.18435000000002</v>
      </c>
      <c r="O76" s="41">
        <v>1310.0446500000003</v>
      </c>
    </row>
    <row r="77" spans="1:26" x14ac:dyDescent="0.25">
      <c r="A77" s="37">
        <v>45501</v>
      </c>
      <c r="B77" s="37" t="s">
        <v>396</v>
      </c>
      <c r="C77" s="38" t="s">
        <v>14</v>
      </c>
      <c r="D77" s="39" t="s">
        <v>55</v>
      </c>
      <c r="E77" s="40" t="s">
        <v>56</v>
      </c>
      <c r="F77" s="38" t="s">
        <v>48</v>
      </c>
      <c r="G77" s="41">
        <v>199.9</v>
      </c>
      <c r="H77" s="42">
        <v>9.995000000000001</v>
      </c>
      <c r="I77" s="42">
        <v>24.987500000000001</v>
      </c>
      <c r="J77" s="42">
        <v>21.989000000000001</v>
      </c>
      <c r="K77" s="41">
        <v>256.87150000000003</v>
      </c>
      <c r="L77" s="43">
        <v>2</v>
      </c>
      <c r="M77" s="41">
        <v>513.74300000000005</v>
      </c>
      <c r="N77" s="41">
        <v>77.061450000000008</v>
      </c>
      <c r="O77" s="41">
        <v>436.68155000000002</v>
      </c>
    </row>
    <row r="78" spans="1:26" x14ac:dyDescent="0.25">
      <c r="A78" s="37">
        <v>45559</v>
      </c>
      <c r="B78" s="37" t="s">
        <v>398</v>
      </c>
      <c r="C78" s="38" t="s">
        <v>7</v>
      </c>
      <c r="D78" s="39" t="s">
        <v>8</v>
      </c>
      <c r="E78" s="40" t="s">
        <v>9</v>
      </c>
      <c r="F78" s="38" t="s">
        <v>48</v>
      </c>
      <c r="G78" s="41">
        <v>199.9</v>
      </c>
      <c r="H78" s="42">
        <v>9.995000000000001</v>
      </c>
      <c r="I78" s="42">
        <v>24.987500000000001</v>
      </c>
      <c r="J78" s="42">
        <v>21.989000000000001</v>
      </c>
      <c r="K78" s="41">
        <v>256.87150000000003</v>
      </c>
      <c r="L78" s="43">
        <v>7</v>
      </c>
      <c r="M78" s="41">
        <v>1798.1005000000002</v>
      </c>
      <c r="N78" s="41">
        <v>269.71507500000001</v>
      </c>
      <c r="O78" s="41">
        <v>1528.3854250000002</v>
      </c>
    </row>
    <row r="79" spans="1:26" x14ac:dyDescent="0.25">
      <c r="A79" s="37">
        <v>45443</v>
      </c>
      <c r="B79" s="37" t="s">
        <v>394</v>
      </c>
      <c r="C79" s="38" t="s">
        <v>22</v>
      </c>
      <c r="D79" s="39" t="s">
        <v>33</v>
      </c>
      <c r="E79" s="40" t="s">
        <v>34</v>
      </c>
      <c r="F79" s="38" t="s">
        <v>58</v>
      </c>
      <c r="G79" s="41">
        <v>369</v>
      </c>
      <c r="H79" s="42">
        <v>18.45</v>
      </c>
      <c r="I79" s="42">
        <v>46.125</v>
      </c>
      <c r="J79" s="42">
        <v>40.590000000000003</v>
      </c>
      <c r="K79" s="41">
        <v>474.16499999999996</v>
      </c>
      <c r="L79" s="43">
        <v>8</v>
      </c>
      <c r="M79" s="41">
        <v>3793.3199999999997</v>
      </c>
      <c r="N79" s="41">
        <v>568.99799999999993</v>
      </c>
      <c r="O79" s="41">
        <v>3224.3219999999997</v>
      </c>
    </row>
    <row r="80" spans="1:26" x14ac:dyDescent="0.25">
      <c r="A80" s="37">
        <v>45451</v>
      </c>
      <c r="B80" s="37" t="s">
        <v>389</v>
      </c>
      <c r="C80" s="38" t="s">
        <v>3</v>
      </c>
      <c r="D80" s="39" t="s">
        <v>25</v>
      </c>
      <c r="E80" s="40" t="s">
        <v>26</v>
      </c>
      <c r="F80" s="38" t="s">
        <v>51</v>
      </c>
      <c r="G80" s="41">
        <v>299</v>
      </c>
      <c r="H80" s="42">
        <v>14.950000000000001</v>
      </c>
      <c r="I80" s="42">
        <v>37.375</v>
      </c>
      <c r="J80" s="42">
        <v>32.89</v>
      </c>
      <c r="K80" s="41">
        <v>384.21499999999997</v>
      </c>
      <c r="L80" s="43">
        <v>5</v>
      </c>
      <c r="M80" s="41">
        <v>1921.0749999999998</v>
      </c>
      <c r="N80" s="41">
        <v>288.16124999999994</v>
      </c>
      <c r="O80" s="41">
        <v>1632.9137499999999</v>
      </c>
    </row>
    <row r="81" spans="1:15" x14ac:dyDescent="0.25">
      <c r="A81" s="37">
        <v>45557</v>
      </c>
      <c r="B81" s="37" t="s">
        <v>398</v>
      </c>
      <c r="C81" s="38" t="s">
        <v>3</v>
      </c>
      <c r="D81" s="39" t="s">
        <v>25</v>
      </c>
      <c r="E81" s="40" t="s">
        <v>26</v>
      </c>
      <c r="F81" s="38" t="s">
        <v>51</v>
      </c>
      <c r="G81" s="41">
        <v>299</v>
      </c>
      <c r="H81" s="42">
        <v>14.950000000000001</v>
      </c>
      <c r="I81" s="42">
        <v>37.375</v>
      </c>
      <c r="J81" s="42">
        <v>32.89</v>
      </c>
      <c r="K81" s="41">
        <v>384.21499999999997</v>
      </c>
      <c r="L81" s="43">
        <v>5</v>
      </c>
      <c r="M81" s="41">
        <v>1921.0749999999998</v>
      </c>
      <c r="N81" s="41">
        <v>288.16124999999994</v>
      </c>
      <c r="O81" s="41">
        <v>1632.9137499999999</v>
      </c>
    </row>
    <row r="82" spans="1:15" x14ac:dyDescent="0.25">
      <c r="A82" s="37">
        <v>45419</v>
      </c>
      <c r="B82" s="37" t="s">
        <v>394</v>
      </c>
      <c r="C82" s="38" t="s">
        <v>3</v>
      </c>
      <c r="D82" s="39" t="s">
        <v>25</v>
      </c>
      <c r="E82" s="40" t="s">
        <v>26</v>
      </c>
      <c r="F82" s="38" t="s">
        <v>52</v>
      </c>
      <c r="G82" s="41">
        <v>99.9</v>
      </c>
      <c r="H82" s="42">
        <v>4.995000000000001</v>
      </c>
      <c r="I82" s="42">
        <v>12.487500000000001</v>
      </c>
      <c r="J82" s="42">
        <v>10.989000000000001</v>
      </c>
      <c r="K82" s="41">
        <v>128.3715</v>
      </c>
      <c r="L82" s="43">
        <v>3</v>
      </c>
      <c r="M82" s="41">
        <v>385.11450000000002</v>
      </c>
      <c r="N82" s="41">
        <v>57.767175000000002</v>
      </c>
      <c r="O82" s="41">
        <v>327.34732500000001</v>
      </c>
    </row>
    <row r="83" spans="1:15" x14ac:dyDescent="0.25">
      <c r="A83" s="37">
        <v>45518</v>
      </c>
      <c r="B83" s="37" t="s">
        <v>391</v>
      </c>
      <c r="C83" s="38" t="s">
        <v>22</v>
      </c>
      <c r="D83" s="39" t="s">
        <v>33</v>
      </c>
      <c r="E83" s="40" t="s">
        <v>34</v>
      </c>
      <c r="F83" s="38" t="s">
        <v>59</v>
      </c>
      <c r="G83" s="41">
        <v>3499</v>
      </c>
      <c r="H83" s="42">
        <v>174.95000000000002</v>
      </c>
      <c r="I83" s="42">
        <v>437.375</v>
      </c>
      <c r="J83" s="42">
        <v>384.89</v>
      </c>
      <c r="K83" s="41">
        <v>4496.2150000000001</v>
      </c>
      <c r="L83" s="43">
        <v>7</v>
      </c>
      <c r="M83" s="41">
        <v>31473.505000000001</v>
      </c>
      <c r="N83" s="41">
        <v>4721.0257499999998</v>
      </c>
      <c r="O83" s="41">
        <v>26752.47925</v>
      </c>
    </row>
    <row r="84" spans="1:15" x14ac:dyDescent="0.25">
      <c r="A84" s="37">
        <v>45638</v>
      </c>
      <c r="B84" s="37" t="s">
        <v>397</v>
      </c>
      <c r="C84" s="38" t="s">
        <v>22</v>
      </c>
      <c r="D84" s="39" t="s">
        <v>41</v>
      </c>
      <c r="E84" s="40" t="s">
        <v>42</v>
      </c>
      <c r="F84" s="38" t="s">
        <v>59</v>
      </c>
      <c r="G84" s="41">
        <v>3499</v>
      </c>
      <c r="H84" s="42">
        <v>174.95000000000002</v>
      </c>
      <c r="I84" s="42">
        <v>437.375</v>
      </c>
      <c r="J84" s="42">
        <v>384.89</v>
      </c>
      <c r="K84" s="41">
        <v>4496.2150000000001</v>
      </c>
      <c r="L84" s="43">
        <v>8</v>
      </c>
      <c r="M84" s="41">
        <v>35969.72</v>
      </c>
      <c r="N84" s="41">
        <v>5395.4579999999996</v>
      </c>
      <c r="O84" s="41">
        <v>30574.262000000002</v>
      </c>
    </row>
    <row r="85" spans="1:15" x14ac:dyDescent="0.25">
      <c r="A85" s="37">
        <v>45492</v>
      </c>
      <c r="B85" s="37" t="s">
        <v>396</v>
      </c>
      <c r="C85" s="38" t="s">
        <v>7</v>
      </c>
      <c r="D85" s="39" t="s">
        <v>8</v>
      </c>
      <c r="E85" s="40" t="s">
        <v>9</v>
      </c>
      <c r="F85" s="38" t="s">
        <v>52</v>
      </c>
      <c r="G85" s="41">
        <v>99.9</v>
      </c>
      <c r="H85" s="42">
        <v>4.995000000000001</v>
      </c>
      <c r="I85" s="42">
        <v>12.487500000000001</v>
      </c>
      <c r="J85" s="42">
        <v>10.989000000000001</v>
      </c>
      <c r="K85" s="41">
        <v>128.3715</v>
      </c>
      <c r="L85" s="43">
        <v>8</v>
      </c>
      <c r="M85" s="41">
        <v>1026.972</v>
      </c>
      <c r="N85" s="41">
        <v>154.04579999999999</v>
      </c>
      <c r="O85" s="41">
        <v>872.92619999999999</v>
      </c>
    </row>
    <row r="86" spans="1:15" x14ac:dyDescent="0.25">
      <c r="A86" s="37">
        <v>45440</v>
      </c>
      <c r="B86" s="37" t="s">
        <v>394</v>
      </c>
      <c r="C86" s="38" t="s">
        <v>14</v>
      </c>
      <c r="D86" s="39" t="s">
        <v>55</v>
      </c>
      <c r="E86" s="40" t="s">
        <v>56</v>
      </c>
      <c r="F86" s="38" t="s">
        <v>52</v>
      </c>
      <c r="G86" s="41">
        <v>99.9</v>
      </c>
      <c r="H86" s="42">
        <v>4.995000000000001</v>
      </c>
      <c r="I86" s="42">
        <v>12.487500000000001</v>
      </c>
      <c r="J86" s="42">
        <v>10.989000000000001</v>
      </c>
      <c r="K86" s="41">
        <v>128.3715</v>
      </c>
      <c r="L86" s="43">
        <v>7</v>
      </c>
      <c r="M86" s="41">
        <v>898.60050000000001</v>
      </c>
      <c r="N86" s="41">
        <v>134.790075</v>
      </c>
      <c r="O86" s="41">
        <v>763.81042500000001</v>
      </c>
    </row>
    <row r="87" spans="1:15" x14ac:dyDescent="0.25">
      <c r="A87" s="37">
        <v>45492</v>
      </c>
      <c r="B87" s="37" t="s">
        <v>396</v>
      </c>
      <c r="C87" s="38" t="s">
        <v>10</v>
      </c>
      <c r="D87" s="39" t="s">
        <v>11</v>
      </c>
      <c r="E87" s="40" t="s">
        <v>12</v>
      </c>
      <c r="F87" s="38" t="s">
        <v>59</v>
      </c>
      <c r="G87" s="41">
        <v>3499</v>
      </c>
      <c r="H87" s="42">
        <v>174.95000000000002</v>
      </c>
      <c r="I87" s="42">
        <v>437.375</v>
      </c>
      <c r="J87" s="42">
        <v>384.89</v>
      </c>
      <c r="K87" s="41">
        <v>4496.2150000000001</v>
      </c>
      <c r="L87" s="43">
        <v>4</v>
      </c>
      <c r="M87" s="41">
        <v>17984.86</v>
      </c>
      <c r="N87" s="41">
        <v>2697.7289999999998</v>
      </c>
      <c r="O87" s="41">
        <v>15287.131000000001</v>
      </c>
    </row>
    <row r="88" spans="1:15" x14ac:dyDescent="0.25">
      <c r="A88" s="37">
        <v>45432</v>
      </c>
      <c r="B88" s="37" t="s">
        <v>394</v>
      </c>
      <c r="C88" s="38" t="s">
        <v>14</v>
      </c>
      <c r="D88" s="39" t="s">
        <v>55</v>
      </c>
      <c r="E88" s="40" t="s">
        <v>56</v>
      </c>
      <c r="F88" s="38" t="s">
        <v>59</v>
      </c>
      <c r="G88" s="41">
        <v>3499</v>
      </c>
      <c r="H88" s="42">
        <v>174.95000000000002</v>
      </c>
      <c r="I88" s="42">
        <v>437.375</v>
      </c>
      <c r="J88" s="42">
        <v>384.89</v>
      </c>
      <c r="K88" s="41">
        <v>4496.2150000000001</v>
      </c>
      <c r="L88" s="43">
        <v>3</v>
      </c>
      <c r="M88" s="41">
        <v>13488.645</v>
      </c>
      <c r="N88" s="41">
        <v>2023.29675</v>
      </c>
      <c r="O88" s="41">
        <v>11465.348250000001</v>
      </c>
    </row>
    <row r="89" spans="1:15" x14ac:dyDescent="0.25">
      <c r="A89" s="37">
        <v>45374</v>
      </c>
      <c r="B89" s="37" t="s">
        <v>399</v>
      </c>
      <c r="C89" s="38" t="s">
        <v>10</v>
      </c>
      <c r="D89" s="39" t="s">
        <v>62</v>
      </c>
      <c r="E89" s="40" t="s">
        <v>63</v>
      </c>
      <c r="F89" s="38" t="s">
        <v>59</v>
      </c>
      <c r="G89" s="41">
        <v>3499</v>
      </c>
      <c r="H89" s="42">
        <v>174.95000000000002</v>
      </c>
      <c r="I89" s="42">
        <v>437.375</v>
      </c>
      <c r="J89" s="42">
        <v>384.89</v>
      </c>
      <c r="K89" s="41">
        <v>4496.2150000000001</v>
      </c>
      <c r="L89" s="43">
        <v>1</v>
      </c>
      <c r="M89" s="41">
        <v>4496.2150000000001</v>
      </c>
      <c r="N89" s="41">
        <v>674.43224999999995</v>
      </c>
      <c r="O89" s="41">
        <v>3821.7827500000003</v>
      </c>
    </row>
    <row r="90" spans="1:15" x14ac:dyDescent="0.25">
      <c r="A90" s="37">
        <v>45322</v>
      </c>
      <c r="B90" s="37" t="s">
        <v>390</v>
      </c>
      <c r="C90" s="38" t="s">
        <v>22</v>
      </c>
      <c r="D90" s="39" t="s">
        <v>33</v>
      </c>
      <c r="E90" s="40" t="s">
        <v>34</v>
      </c>
      <c r="F90" s="38" t="s">
        <v>27</v>
      </c>
      <c r="G90" s="41">
        <v>7999</v>
      </c>
      <c r="H90" s="42">
        <v>399.95000000000005</v>
      </c>
      <c r="I90" s="42">
        <v>999.875</v>
      </c>
      <c r="J90" s="42">
        <v>879.89</v>
      </c>
      <c r="K90" s="41">
        <v>10278.715</v>
      </c>
      <c r="L90" s="43">
        <v>8</v>
      </c>
      <c r="M90" s="41">
        <v>82229.72</v>
      </c>
      <c r="N90" s="41">
        <v>12334.458000000001</v>
      </c>
      <c r="O90" s="41">
        <v>69895.262000000002</v>
      </c>
    </row>
    <row r="91" spans="1:15" x14ac:dyDescent="0.25">
      <c r="A91" s="37">
        <v>45437</v>
      </c>
      <c r="B91" s="37" t="s">
        <v>394</v>
      </c>
      <c r="C91" s="38" t="s">
        <v>10</v>
      </c>
      <c r="D91" s="39" t="s">
        <v>11</v>
      </c>
      <c r="E91" s="40" t="s">
        <v>12</v>
      </c>
      <c r="F91" s="38" t="s">
        <v>30</v>
      </c>
      <c r="G91" s="41">
        <v>5299</v>
      </c>
      <c r="H91" s="42">
        <v>264.95</v>
      </c>
      <c r="I91" s="42">
        <v>662.375</v>
      </c>
      <c r="J91" s="42">
        <v>582.89</v>
      </c>
      <c r="K91" s="41">
        <v>6809.2150000000001</v>
      </c>
      <c r="L91" s="43">
        <v>4</v>
      </c>
      <c r="M91" s="41">
        <v>27236.86</v>
      </c>
      <c r="N91" s="41">
        <v>4085.529</v>
      </c>
      <c r="O91" s="41">
        <v>23151.331000000002</v>
      </c>
    </row>
    <row r="92" spans="1:15" x14ac:dyDescent="0.25">
      <c r="A92" s="37">
        <v>45645</v>
      </c>
      <c r="B92" s="37" t="s">
        <v>397</v>
      </c>
      <c r="C92" s="38" t="s">
        <v>22</v>
      </c>
      <c r="D92" s="39" t="s">
        <v>41</v>
      </c>
      <c r="E92" s="40" t="s">
        <v>42</v>
      </c>
      <c r="F92" s="38" t="s">
        <v>57</v>
      </c>
      <c r="G92" s="41">
        <v>1299</v>
      </c>
      <c r="H92" s="42">
        <v>64.95</v>
      </c>
      <c r="I92" s="42">
        <v>162.375</v>
      </c>
      <c r="J92" s="42">
        <v>142.89000000000001</v>
      </c>
      <c r="K92" s="41">
        <v>1669.2150000000001</v>
      </c>
      <c r="L92" s="43">
        <v>4</v>
      </c>
      <c r="M92" s="41">
        <v>6676.8600000000006</v>
      </c>
      <c r="N92" s="41">
        <v>1001.529</v>
      </c>
      <c r="O92" s="41">
        <v>5675.3310000000001</v>
      </c>
    </row>
    <row r="93" spans="1:15" x14ac:dyDescent="0.25">
      <c r="A93" s="37">
        <v>45313</v>
      </c>
      <c r="B93" s="37" t="s">
        <v>390</v>
      </c>
      <c r="C93" s="38" t="s">
        <v>10</v>
      </c>
      <c r="D93" s="39" t="s">
        <v>11</v>
      </c>
      <c r="E93" s="40" t="s">
        <v>12</v>
      </c>
      <c r="F93" s="38" t="s">
        <v>64</v>
      </c>
      <c r="G93" s="41">
        <v>419</v>
      </c>
      <c r="H93" s="42">
        <v>20.950000000000003</v>
      </c>
      <c r="I93" s="42">
        <v>52.375</v>
      </c>
      <c r="J93" s="42">
        <v>46.09</v>
      </c>
      <c r="K93" s="41">
        <v>538.41499999999996</v>
      </c>
      <c r="L93" s="43">
        <v>2</v>
      </c>
      <c r="M93" s="41">
        <v>1076.83</v>
      </c>
      <c r="N93" s="41">
        <v>161.52449999999999</v>
      </c>
      <c r="O93" s="41">
        <v>915.30549999999994</v>
      </c>
    </row>
    <row r="94" spans="1:15" x14ac:dyDescent="0.25">
      <c r="A94" s="37">
        <v>45604</v>
      </c>
      <c r="B94" s="37" t="s">
        <v>395</v>
      </c>
      <c r="C94" s="38" t="s">
        <v>14</v>
      </c>
      <c r="D94" s="39" t="s">
        <v>53</v>
      </c>
      <c r="E94" s="40" t="s">
        <v>54</v>
      </c>
      <c r="F94" s="38" t="s">
        <v>47</v>
      </c>
      <c r="G94" s="41">
        <v>1299</v>
      </c>
      <c r="H94" s="42">
        <v>64.95</v>
      </c>
      <c r="I94" s="42">
        <v>162.375</v>
      </c>
      <c r="J94" s="42">
        <v>142.89000000000001</v>
      </c>
      <c r="K94" s="41">
        <v>1669.2150000000001</v>
      </c>
      <c r="L94" s="43">
        <v>8</v>
      </c>
      <c r="M94" s="41">
        <v>13353.720000000001</v>
      </c>
      <c r="N94" s="41">
        <v>2003.058</v>
      </c>
      <c r="O94" s="41">
        <v>11350.662</v>
      </c>
    </row>
    <row r="95" spans="1:15" x14ac:dyDescent="0.25">
      <c r="A95" s="37">
        <v>45391</v>
      </c>
      <c r="B95" s="37" t="s">
        <v>393</v>
      </c>
      <c r="C95" s="38" t="s">
        <v>14</v>
      </c>
      <c r="D95" s="39" t="s">
        <v>55</v>
      </c>
      <c r="E95" s="40" t="s">
        <v>56</v>
      </c>
      <c r="F95" s="38" t="s">
        <v>48</v>
      </c>
      <c r="G95" s="41">
        <v>199.9</v>
      </c>
      <c r="H95" s="42">
        <v>9.995000000000001</v>
      </c>
      <c r="I95" s="42">
        <v>24.987500000000001</v>
      </c>
      <c r="J95" s="42">
        <v>21.989000000000001</v>
      </c>
      <c r="K95" s="41">
        <v>256.87150000000003</v>
      </c>
      <c r="L95" s="43">
        <v>4</v>
      </c>
      <c r="M95" s="41">
        <v>1027.4860000000001</v>
      </c>
      <c r="N95" s="41">
        <v>154.12290000000002</v>
      </c>
      <c r="O95" s="41">
        <v>873.36310000000003</v>
      </c>
    </row>
    <row r="96" spans="1:15" x14ac:dyDescent="0.25">
      <c r="A96" s="37">
        <v>45514</v>
      </c>
      <c r="B96" s="37" t="s">
        <v>391</v>
      </c>
      <c r="C96" s="38" t="s">
        <v>10</v>
      </c>
      <c r="D96" s="39" t="s">
        <v>28</v>
      </c>
      <c r="E96" s="40" t="s">
        <v>29</v>
      </c>
      <c r="F96" s="38" t="s">
        <v>48</v>
      </c>
      <c r="G96" s="41">
        <v>199.9</v>
      </c>
      <c r="H96" s="42">
        <v>9.995000000000001</v>
      </c>
      <c r="I96" s="42">
        <v>24.987500000000001</v>
      </c>
      <c r="J96" s="42">
        <v>21.989000000000001</v>
      </c>
      <c r="K96" s="41">
        <v>256.87150000000003</v>
      </c>
      <c r="L96" s="43">
        <v>4</v>
      </c>
      <c r="M96" s="41">
        <v>1027.4860000000001</v>
      </c>
      <c r="N96" s="41">
        <v>154.12290000000002</v>
      </c>
      <c r="O96" s="41">
        <v>873.36310000000003</v>
      </c>
    </row>
    <row r="97" spans="1:15" x14ac:dyDescent="0.25">
      <c r="A97" s="37">
        <v>45512</v>
      </c>
      <c r="B97" s="37" t="s">
        <v>391</v>
      </c>
      <c r="C97" s="38" t="s">
        <v>10</v>
      </c>
      <c r="D97" s="39" t="s">
        <v>11</v>
      </c>
      <c r="E97" s="40" t="s">
        <v>12</v>
      </c>
      <c r="F97" s="38" t="s">
        <v>49</v>
      </c>
      <c r="G97" s="41">
        <v>349</v>
      </c>
      <c r="H97" s="42">
        <v>17.45</v>
      </c>
      <c r="I97" s="42">
        <v>43.625</v>
      </c>
      <c r="J97" s="42">
        <v>38.39</v>
      </c>
      <c r="K97" s="41">
        <v>448.46499999999997</v>
      </c>
      <c r="L97" s="43">
        <v>5</v>
      </c>
      <c r="M97" s="41">
        <v>2242.3249999999998</v>
      </c>
      <c r="N97" s="41">
        <v>336.34874999999994</v>
      </c>
      <c r="O97" s="41">
        <v>1905.9762499999999</v>
      </c>
    </row>
    <row r="98" spans="1:15" x14ac:dyDescent="0.25">
      <c r="A98" s="37">
        <v>45468</v>
      </c>
      <c r="B98" s="37" t="s">
        <v>389</v>
      </c>
      <c r="C98" s="38" t="s">
        <v>22</v>
      </c>
      <c r="D98" s="39" t="s">
        <v>33</v>
      </c>
      <c r="E98" s="40" t="s">
        <v>34</v>
      </c>
      <c r="F98" s="38" t="s">
        <v>65</v>
      </c>
      <c r="G98" s="41">
        <v>1799</v>
      </c>
      <c r="H98" s="42">
        <v>89.95</v>
      </c>
      <c r="I98" s="42">
        <v>224.875</v>
      </c>
      <c r="J98" s="42">
        <v>197.89000000000001</v>
      </c>
      <c r="K98" s="41">
        <v>2311.7149999999997</v>
      </c>
      <c r="L98" s="43">
        <v>7</v>
      </c>
      <c r="M98" s="41">
        <v>16182.004999999997</v>
      </c>
      <c r="N98" s="41">
        <v>2427.3007499999994</v>
      </c>
      <c r="O98" s="41">
        <v>13754.704249999999</v>
      </c>
    </row>
    <row r="99" spans="1:15" x14ac:dyDescent="0.25">
      <c r="A99" s="37">
        <v>45411</v>
      </c>
      <c r="B99" s="37" t="s">
        <v>393</v>
      </c>
      <c r="C99" s="38" t="s">
        <v>10</v>
      </c>
      <c r="D99" s="39" t="s">
        <v>62</v>
      </c>
      <c r="E99" s="40" t="s">
        <v>63</v>
      </c>
      <c r="F99" s="38" t="s">
        <v>58</v>
      </c>
      <c r="G99" s="41">
        <v>369</v>
      </c>
      <c r="H99" s="42">
        <v>18.45</v>
      </c>
      <c r="I99" s="42">
        <v>46.125</v>
      </c>
      <c r="J99" s="42">
        <v>40.590000000000003</v>
      </c>
      <c r="K99" s="41">
        <v>474.16499999999996</v>
      </c>
      <c r="L99" s="43">
        <v>8</v>
      </c>
      <c r="M99" s="41">
        <v>3793.3199999999997</v>
      </c>
      <c r="N99" s="41">
        <v>568.99799999999993</v>
      </c>
      <c r="O99" s="41">
        <v>3224.3219999999997</v>
      </c>
    </row>
    <row r="100" spans="1:15" x14ac:dyDescent="0.25">
      <c r="A100" s="37">
        <v>45299</v>
      </c>
      <c r="B100" s="37" t="s">
        <v>390</v>
      </c>
      <c r="C100" s="38" t="s">
        <v>10</v>
      </c>
      <c r="D100" s="39" t="s">
        <v>39</v>
      </c>
      <c r="E100" s="40" t="s">
        <v>40</v>
      </c>
      <c r="F100" s="38" t="s">
        <v>58</v>
      </c>
      <c r="G100" s="41">
        <v>350</v>
      </c>
      <c r="H100" s="42">
        <v>17.5</v>
      </c>
      <c r="I100" s="42">
        <v>43.75</v>
      </c>
      <c r="J100" s="42">
        <v>38.5</v>
      </c>
      <c r="K100" s="41">
        <v>449.75</v>
      </c>
      <c r="L100" s="43">
        <v>1</v>
      </c>
      <c r="M100" s="41">
        <v>449.75</v>
      </c>
      <c r="N100" s="41">
        <v>67.462499999999991</v>
      </c>
      <c r="O100" s="41">
        <v>382.28750000000002</v>
      </c>
    </row>
    <row r="101" spans="1:15" x14ac:dyDescent="0.25">
      <c r="A101" s="37">
        <v>45511</v>
      </c>
      <c r="B101" s="37" t="s">
        <v>391</v>
      </c>
      <c r="C101" s="38" t="s">
        <v>10</v>
      </c>
      <c r="D101" s="39" t="s">
        <v>39</v>
      </c>
      <c r="E101" s="40" t="s">
        <v>40</v>
      </c>
      <c r="F101" s="38" t="s">
        <v>50</v>
      </c>
      <c r="G101" s="41">
        <v>31.9</v>
      </c>
      <c r="H101" s="42">
        <v>1.595</v>
      </c>
      <c r="I101" s="42">
        <v>3.9874999999999998</v>
      </c>
      <c r="J101" s="42">
        <v>3.5089999999999999</v>
      </c>
      <c r="K101" s="41">
        <v>40.991499999999995</v>
      </c>
      <c r="L101" s="43">
        <v>8</v>
      </c>
      <c r="M101" s="41">
        <v>327.93199999999996</v>
      </c>
      <c r="N101" s="41">
        <v>49.189799999999991</v>
      </c>
      <c r="O101" s="41">
        <v>278.74219999999997</v>
      </c>
    </row>
    <row r="102" spans="1:15" x14ac:dyDescent="0.25">
      <c r="A102" s="37">
        <v>45600</v>
      </c>
      <c r="B102" s="37" t="s">
        <v>395</v>
      </c>
      <c r="C102" s="38" t="s">
        <v>22</v>
      </c>
      <c r="D102" s="39" t="s">
        <v>23</v>
      </c>
      <c r="E102" s="40" t="s">
        <v>24</v>
      </c>
      <c r="F102" s="38" t="s">
        <v>51</v>
      </c>
      <c r="G102" s="41">
        <v>299</v>
      </c>
      <c r="H102" s="42">
        <v>14.950000000000001</v>
      </c>
      <c r="I102" s="42">
        <v>37.375</v>
      </c>
      <c r="J102" s="42">
        <v>32.89</v>
      </c>
      <c r="K102" s="41">
        <v>384.21499999999997</v>
      </c>
      <c r="L102" s="43">
        <v>1</v>
      </c>
      <c r="M102" s="41">
        <v>384.21499999999997</v>
      </c>
      <c r="N102" s="41">
        <v>57.632249999999992</v>
      </c>
      <c r="O102" s="41">
        <v>326.58274999999998</v>
      </c>
    </row>
    <row r="103" spans="1:15" x14ac:dyDescent="0.25">
      <c r="A103" s="37">
        <v>45584</v>
      </c>
      <c r="B103" s="37" t="s">
        <v>392</v>
      </c>
      <c r="C103" s="38" t="s">
        <v>3</v>
      </c>
      <c r="D103" s="39" t="s">
        <v>44</v>
      </c>
      <c r="E103" s="40" t="s">
        <v>45</v>
      </c>
      <c r="F103" s="38" t="s">
        <v>52</v>
      </c>
      <c r="G103" s="41">
        <v>99.9</v>
      </c>
      <c r="H103" s="42">
        <v>4.995000000000001</v>
      </c>
      <c r="I103" s="42">
        <v>12.487500000000001</v>
      </c>
      <c r="J103" s="42">
        <v>10.989000000000001</v>
      </c>
      <c r="K103" s="41">
        <v>128.3715</v>
      </c>
      <c r="L103" s="43">
        <v>5</v>
      </c>
      <c r="M103" s="41">
        <v>641.85749999999996</v>
      </c>
      <c r="N103" s="41">
        <v>96.278624999999991</v>
      </c>
      <c r="O103" s="41">
        <v>545.57887499999993</v>
      </c>
    </row>
    <row r="104" spans="1:15" x14ac:dyDescent="0.25">
      <c r="A104" s="37">
        <v>45412</v>
      </c>
      <c r="B104" s="37" t="s">
        <v>393</v>
      </c>
      <c r="C104" s="38" t="s">
        <v>3</v>
      </c>
      <c r="D104" s="39" t="s">
        <v>25</v>
      </c>
      <c r="E104" s="40" t="s">
        <v>26</v>
      </c>
      <c r="F104" s="38" t="s">
        <v>59</v>
      </c>
      <c r="G104" s="41">
        <v>3499</v>
      </c>
      <c r="H104" s="42">
        <v>174.95000000000002</v>
      </c>
      <c r="I104" s="42">
        <v>437.375</v>
      </c>
      <c r="J104" s="42">
        <v>384.89</v>
      </c>
      <c r="K104" s="41">
        <v>4496.2150000000001</v>
      </c>
      <c r="L104" s="43">
        <v>1</v>
      </c>
      <c r="M104" s="41">
        <v>4496.2150000000001</v>
      </c>
      <c r="N104" s="41">
        <v>674.43224999999995</v>
      </c>
      <c r="O104" s="41">
        <v>3821.7827500000003</v>
      </c>
    </row>
    <row r="105" spans="1:15" x14ac:dyDescent="0.25">
      <c r="A105" s="37">
        <v>45317</v>
      </c>
      <c r="B105" s="37" t="s">
        <v>390</v>
      </c>
      <c r="C105" s="38" t="s">
        <v>10</v>
      </c>
      <c r="D105" s="39" t="s">
        <v>11</v>
      </c>
      <c r="E105" s="40" t="s">
        <v>12</v>
      </c>
      <c r="F105" s="38" t="s">
        <v>59</v>
      </c>
      <c r="G105" s="41">
        <v>3499</v>
      </c>
      <c r="H105" s="42">
        <v>174.95000000000002</v>
      </c>
      <c r="I105" s="42">
        <v>437.375</v>
      </c>
      <c r="J105" s="42">
        <v>384.89</v>
      </c>
      <c r="K105" s="41">
        <v>4496.2150000000001</v>
      </c>
      <c r="L105" s="43">
        <v>8</v>
      </c>
      <c r="M105" s="41">
        <v>35969.72</v>
      </c>
      <c r="N105" s="41">
        <v>5395.4579999999996</v>
      </c>
      <c r="O105" s="41">
        <v>30574.262000000002</v>
      </c>
    </row>
    <row r="106" spans="1:15" x14ac:dyDescent="0.25">
      <c r="A106" s="37">
        <v>45337</v>
      </c>
      <c r="B106" s="37" t="s">
        <v>400</v>
      </c>
      <c r="C106" s="38" t="s">
        <v>14</v>
      </c>
      <c r="D106" s="39" t="s">
        <v>55</v>
      </c>
      <c r="E106" s="40" t="s">
        <v>56</v>
      </c>
      <c r="F106" s="38" t="s">
        <v>30</v>
      </c>
      <c r="G106" s="41">
        <v>4999</v>
      </c>
      <c r="H106" s="42">
        <v>249.95000000000002</v>
      </c>
      <c r="I106" s="42">
        <v>624.875</v>
      </c>
      <c r="J106" s="42">
        <v>549.89</v>
      </c>
      <c r="K106" s="41">
        <v>6423.7150000000001</v>
      </c>
      <c r="L106" s="43">
        <v>7</v>
      </c>
      <c r="M106" s="41">
        <v>44966.005000000005</v>
      </c>
      <c r="N106" s="41">
        <v>6744.9007500000007</v>
      </c>
      <c r="O106" s="41">
        <v>38221.104250000004</v>
      </c>
    </row>
    <row r="107" spans="1:15" x14ac:dyDescent="0.25">
      <c r="A107" s="37">
        <v>45554</v>
      </c>
      <c r="B107" s="37" t="s">
        <v>398</v>
      </c>
      <c r="C107" s="38" t="s">
        <v>14</v>
      </c>
      <c r="D107" s="39" t="s">
        <v>53</v>
      </c>
      <c r="E107" s="40" t="s">
        <v>54</v>
      </c>
      <c r="F107" s="38" t="s">
        <v>30</v>
      </c>
      <c r="G107" s="41">
        <v>4999</v>
      </c>
      <c r="H107" s="42">
        <v>249.95000000000002</v>
      </c>
      <c r="I107" s="42">
        <v>624.875</v>
      </c>
      <c r="J107" s="42">
        <v>549.89</v>
      </c>
      <c r="K107" s="41">
        <v>6423.7150000000001</v>
      </c>
      <c r="L107" s="43">
        <v>6</v>
      </c>
      <c r="M107" s="41">
        <v>38542.29</v>
      </c>
      <c r="N107" s="41">
        <v>5781.3434999999999</v>
      </c>
      <c r="O107" s="41">
        <v>32760.946500000002</v>
      </c>
    </row>
    <row r="108" spans="1:15" x14ac:dyDescent="0.25">
      <c r="A108" s="37">
        <v>45509</v>
      </c>
      <c r="B108" s="37" t="s">
        <v>391</v>
      </c>
      <c r="C108" s="38" t="s">
        <v>7</v>
      </c>
      <c r="D108" s="39" t="s">
        <v>8</v>
      </c>
      <c r="E108" s="40" t="s">
        <v>9</v>
      </c>
      <c r="F108" s="38" t="s">
        <v>30</v>
      </c>
      <c r="G108" s="41">
        <v>4999</v>
      </c>
      <c r="H108" s="42">
        <v>249.95000000000002</v>
      </c>
      <c r="I108" s="42">
        <v>624.875</v>
      </c>
      <c r="J108" s="42">
        <v>549.89</v>
      </c>
      <c r="K108" s="41">
        <v>6423.7150000000001</v>
      </c>
      <c r="L108" s="43">
        <v>6</v>
      </c>
      <c r="M108" s="41">
        <v>38542.29</v>
      </c>
      <c r="N108" s="41">
        <v>5781.3434999999999</v>
      </c>
      <c r="O108" s="41">
        <v>32760.946500000002</v>
      </c>
    </row>
    <row r="109" spans="1:15" x14ac:dyDescent="0.25">
      <c r="A109" s="37">
        <v>45400</v>
      </c>
      <c r="B109" s="37" t="s">
        <v>393</v>
      </c>
      <c r="C109" s="38" t="s">
        <v>14</v>
      </c>
      <c r="D109" s="39" t="s">
        <v>15</v>
      </c>
      <c r="E109" s="40" t="s">
        <v>16</v>
      </c>
      <c r="F109" s="38" t="s">
        <v>31</v>
      </c>
      <c r="G109" s="41">
        <v>5999</v>
      </c>
      <c r="H109" s="42">
        <v>299.95</v>
      </c>
      <c r="I109" s="42">
        <v>749.875</v>
      </c>
      <c r="J109" s="42">
        <v>659.89</v>
      </c>
      <c r="K109" s="41">
        <v>7708.7150000000001</v>
      </c>
      <c r="L109" s="43">
        <v>1</v>
      </c>
      <c r="M109" s="41">
        <v>7708.7150000000001</v>
      </c>
      <c r="N109" s="41">
        <v>1156.3072500000001</v>
      </c>
      <c r="O109" s="41">
        <v>6552.4077500000003</v>
      </c>
    </row>
    <row r="110" spans="1:15" x14ac:dyDescent="0.25">
      <c r="A110" s="37">
        <v>45348</v>
      </c>
      <c r="B110" s="37" t="s">
        <v>400</v>
      </c>
      <c r="C110" s="38" t="s">
        <v>22</v>
      </c>
      <c r="D110" s="39" t="s">
        <v>33</v>
      </c>
      <c r="E110" s="40" t="s">
        <v>34</v>
      </c>
      <c r="F110" s="38" t="s">
        <v>31</v>
      </c>
      <c r="G110" s="41">
        <v>5999</v>
      </c>
      <c r="H110" s="42">
        <v>299.95</v>
      </c>
      <c r="I110" s="42">
        <v>749.875</v>
      </c>
      <c r="J110" s="42">
        <v>659.89</v>
      </c>
      <c r="K110" s="41">
        <v>7708.7150000000001</v>
      </c>
      <c r="L110" s="43">
        <v>6</v>
      </c>
      <c r="M110" s="41">
        <v>46252.29</v>
      </c>
      <c r="N110" s="41">
        <v>6937.8434999999999</v>
      </c>
      <c r="O110" s="41">
        <v>39314.446499999998</v>
      </c>
    </row>
    <row r="111" spans="1:15" x14ac:dyDescent="0.25">
      <c r="A111" s="37">
        <v>45382</v>
      </c>
      <c r="B111" s="37" t="s">
        <v>399</v>
      </c>
      <c r="C111" s="38" t="s">
        <v>7</v>
      </c>
      <c r="D111" s="39" t="s">
        <v>18</v>
      </c>
      <c r="E111" s="40" t="s">
        <v>19</v>
      </c>
      <c r="F111" s="38" t="s">
        <v>6</v>
      </c>
      <c r="G111" s="41">
        <v>4.9000000000000004</v>
      </c>
      <c r="H111" s="42">
        <v>0.24500000000000002</v>
      </c>
      <c r="I111" s="42">
        <v>0.61250000000000004</v>
      </c>
      <c r="J111" s="42">
        <v>0.53900000000000003</v>
      </c>
      <c r="K111" s="41">
        <v>6.2965</v>
      </c>
      <c r="L111" s="43">
        <v>6</v>
      </c>
      <c r="M111" s="41">
        <v>37.778999999999996</v>
      </c>
      <c r="N111" s="41">
        <v>5.6668499999999993</v>
      </c>
      <c r="O111" s="41">
        <v>32.11215</v>
      </c>
    </row>
    <row r="112" spans="1:15" x14ac:dyDescent="0.25">
      <c r="A112" s="37">
        <v>45584</v>
      </c>
      <c r="B112" s="37" t="s">
        <v>392</v>
      </c>
      <c r="C112" s="38" t="s">
        <v>10</v>
      </c>
      <c r="D112" s="39" t="s">
        <v>39</v>
      </c>
      <c r="E112" s="40" t="s">
        <v>40</v>
      </c>
      <c r="F112" s="38" t="s">
        <v>6</v>
      </c>
      <c r="G112" s="41">
        <v>4.9000000000000004</v>
      </c>
      <c r="H112" s="42">
        <v>0.24500000000000002</v>
      </c>
      <c r="I112" s="42">
        <v>0.61250000000000004</v>
      </c>
      <c r="J112" s="42">
        <v>0.53900000000000003</v>
      </c>
      <c r="K112" s="41">
        <v>6.2965</v>
      </c>
      <c r="L112" s="43">
        <v>1</v>
      </c>
      <c r="M112" s="41">
        <v>6.2965</v>
      </c>
      <c r="N112" s="41">
        <v>0.94447499999999995</v>
      </c>
      <c r="O112" s="41">
        <v>5.3520250000000003</v>
      </c>
    </row>
    <row r="113" spans="1:15" x14ac:dyDescent="0.25">
      <c r="A113" s="37">
        <v>45626</v>
      </c>
      <c r="B113" s="37" t="s">
        <v>395</v>
      </c>
      <c r="C113" s="38" t="s">
        <v>3</v>
      </c>
      <c r="D113" s="39" t="s">
        <v>25</v>
      </c>
      <c r="E113" s="40" t="s">
        <v>26</v>
      </c>
      <c r="F113" s="38" t="s">
        <v>51</v>
      </c>
      <c r="G113" s="41">
        <v>299</v>
      </c>
      <c r="H113" s="42">
        <v>14.950000000000001</v>
      </c>
      <c r="I113" s="42">
        <v>37.375</v>
      </c>
      <c r="J113" s="42">
        <v>32.89</v>
      </c>
      <c r="K113" s="41">
        <v>384.21499999999997</v>
      </c>
      <c r="L113" s="43">
        <v>2</v>
      </c>
      <c r="M113" s="41">
        <v>768.43</v>
      </c>
      <c r="N113" s="41">
        <v>115.26449999999998</v>
      </c>
      <c r="O113" s="41">
        <v>653.16549999999995</v>
      </c>
    </row>
    <row r="114" spans="1:15" x14ac:dyDescent="0.25">
      <c r="A114" s="37">
        <v>45380</v>
      </c>
      <c r="B114" s="37" t="s">
        <v>399</v>
      </c>
      <c r="C114" s="38" t="s">
        <v>10</v>
      </c>
      <c r="D114" s="39" t="s">
        <v>62</v>
      </c>
      <c r="E114" s="40" t="s">
        <v>63</v>
      </c>
      <c r="F114" s="38" t="s">
        <v>65</v>
      </c>
      <c r="G114" s="41">
        <v>1799</v>
      </c>
      <c r="H114" s="42">
        <v>89.95</v>
      </c>
      <c r="I114" s="42">
        <v>224.875</v>
      </c>
      <c r="J114" s="42">
        <v>197.89000000000001</v>
      </c>
      <c r="K114" s="41">
        <v>2311.7149999999997</v>
      </c>
      <c r="L114" s="43">
        <v>2</v>
      </c>
      <c r="M114" s="41">
        <v>4623.4299999999994</v>
      </c>
      <c r="N114" s="41">
        <v>693.51449999999988</v>
      </c>
      <c r="O114" s="41">
        <v>3929.9154999999996</v>
      </c>
    </row>
    <row r="115" spans="1:15" x14ac:dyDescent="0.25">
      <c r="A115" s="37">
        <v>45318</v>
      </c>
      <c r="B115" s="37" t="s">
        <v>390</v>
      </c>
      <c r="C115" s="38" t="s">
        <v>14</v>
      </c>
      <c r="D115" s="39" t="s">
        <v>53</v>
      </c>
      <c r="E115" s="40" t="s">
        <v>54</v>
      </c>
      <c r="F115" s="38" t="s">
        <v>50</v>
      </c>
      <c r="G115" s="41">
        <v>31.9</v>
      </c>
      <c r="H115" s="42">
        <v>1.595</v>
      </c>
      <c r="I115" s="42">
        <v>3.9874999999999998</v>
      </c>
      <c r="J115" s="42">
        <v>3.5089999999999999</v>
      </c>
      <c r="K115" s="41">
        <v>40.991499999999995</v>
      </c>
      <c r="L115" s="43">
        <v>5</v>
      </c>
      <c r="M115" s="41">
        <v>204.95749999999998</v>
      </c>
      <c r="N115" s="41">
        <v>30.743624999999994</v>
      </c>
      <c r="O115" s="41">
        <v>174.21387499999997</v>
      </c>
    </row>
    <row r="116" spans="1:15" x14ac:dyDescent="0.25">
      <c r="A116" s="37">
        <v>45452</v>
      </c>
      <c r="B116" s="37" t="s">
        <v>389</v>
      </c>
      <c r="C116" s="38" t="s">
        <v>10</v>
      </c>
      <c r="D116" s="39" t="s">
        <v>28</v>
      </c>
      <c r="E116" s="40" t="s">
        <v>29</v>
      </c>
      <c r="F116" s="38" t="s">
        <v>50</v>
      </c>
      <c r="G116" s="41">
        <v>31.9</v>
      </c>
      <c r="H116" s="42">
        <v>1.595</v>
      </c>
      <c r="I116" s="42">
        <v>3.9874999999999998</v>
      </c>
      <c r="J116" s="42">
        <v>3.5089999999999999</v>
      </c>
      <c r="K116" s="41">
        <v>40.991499999999995</v>
      </c>
      <c r="L116" s="43">
        <v>4</v>
      </c>
      <c r="M116" s="41">
        <v>163.96599999999998</v>
      </c>
      <c r="N116" s="41">
        <v>24.594899999999996</v>
      </c>
      <c r="O116" s="41">
        <v>139.37109999999998</v>
      </c>
    </row>
    <row r="117" spans="1:15" x14ac:dyDescent="0.25">
      <c r="A117" s="37">
        <v>45415</v>
      </c>
      <c r="B117" s="37" t="s">
        <v>394</v>
      </c>
      <c r="C117" s="38" t="s">
        <v>3</v>
      </c>
      <c r="D117" s="39" t="s">
        <v>44</v>
      </c>
      <c r="E117" s="40" t="s">
        <v>45</v>
      </c>
      <c r="F117" s="38" t="s">
        <v>50</v>
      </c>
      <c r="G117" s="41">
        <v>31.9</v>
      </c>
      <c r="H117" s="42">
        <v>1.595</v>
      </c>
      <c r="I117" s="42">
        <v>3.9874999999999998</v>
      </c>
      <c r="J117" s="42">
        <v>3.5089999999999999</v>
      </c>
      <c r="K117" s="41">
        <v>40.991499999999995</v>
      </c>
      <c r="L117" s="43">
        <v>3</v>
      </c>
      <c r="M117" s="41">
        <v>122.97449999999998</v>
      </c>
      <c r="N117" s="41">
        <v>18.446174999999997</v>
      </c>
      <c r="O117" s="41">
        <v>104.52832499999998</v>
      </c>
    </row>
    <row r="118" spans="1:15" x14ac:dyDescent="0.25">
      <c r="A118" s="37">
        <v>45623</v>
      </c>
      <c r="B118" s="37" t="s">
        <v>395</v>
      </c>
      <c r="C118" s="38" t="s">
        <v>10</v>
      </c>
      <c r="D118" s="39" t="s">
        <v>62</v>
      </c>
      <c r="E118" s="40" t="s">
        <v>63</v>
      </c>
      <c r="F118" s="38" t="s">
        <v>51</v>
      </c>
      <c r="G118" s="41">
        <v>299</v>
      </c>
      <c r="H118" s="42">
        <v>14.950000000000001</v>
      </c>
      <c r="I118" s="42">
        <v>37.375</v>
      </c>
      <c r="J118" s="42">
        <v>32.89</v>
      </c>
      <c r="K118" s="41">
        <v>384.21499999999997</v>
      </c>
      <c r="L118" s="43">
        <v>7</v>
      </c>
      <c r="M118" s="41">
        <v>2689.5049999999997</v>
      </c>
      <c r="N118" s="41">
        <v>403.42574999999994</v>
      </c>
      <c r="O118" s="41">
        <v>2286.0792499999998</v>
      </c>
    </row>
    <row r="119" spans="1:15" x14ac:dyDescent="0.25">
      <c r="A119" s="37">
        <v>45334</v>
      </c>
      <c r="B119" s="37" t="s">
        <v>400</v>
      </c>
      <c r="C119" s="38" t="s">
        <v>10</v>
      </c>
      <c r="D119" s="39" t="s">
        <v>62</v>
      </c>
      <c r="E119" s="40" t="s">
        <v>63</v>
      </c>
      <c r="F119" s="38" t="s">
        <v>59</v>
      </c>
      <c r="G119" s="41">
        <v>3499</v>
      </c>
      <c r="H119" s="42">
        <v>174.95000000000002</v>
      </c>
      <c r="I119" s="42">
        <v>437.375</v>
      </c>
      <c r="J119" s="42">
        <v>384.89</v>
      </c>
      <c r="K119" s="41">
        <v>4496.2150000000001</v>
      </c>
      <c r="L119" s="43">
        <v>4</v>
      </c>
      <c r="M119" s="41">
        <v>17984.86</v>
      </c>
      <c r="N119" s="41">
        <v>2697.7289999999998</v>
      </c>
      <c r="O119" s="41">
        <v>15287.131000000001</v>
      </c>
    </row>
    <row r="120" spans="1:15" x14ac:dyDescent="0.25">
      <c r="A120" s="37">
        <v>45475</v>
      </c>
      <c r="B120" s="37" t="s">
        <v>396</v>
      </c>
      <c r="C120" s="38" t="s">
        <v>10</v>
      </c>
      <c r="D120" s="39" t="s">
        <v>39</v>
      </c>
      <c r="E120" s="40" t="s">
        <v>40</v>
      </c>
      <c r="F120" s="38" t="s">
        <v>31</v>
      </c>
      <c r="G120" s="41">
        <v>5999</v>
      </c>
      <c r="H120" s="42">
        <v>299.95</v>
      </c>
      <c r="I120" s="42">
        <v>749.875</v>
      </c>
      <c r="J120" s="42">
        <v>659.89</v>
      </c>
      <c r="K120" s="41">
        <v>7708.7150000000001</v>
      </c>
      <c r="L120" s="43">
        <v>6</v>
      </c>
      <c r="M120" s="41">
        <v>46252.29</v>
      </c>
      <c r="N120" s="41">
        <v>6937.8434999999999</v>
      </c>
      <c r="O120" s="41">
        <v>39314.446499999998</v>
      </c>
    </row>
    <row r="121" spans="1:15" x14ac:dyDescent="0.25">
      <c r="A121" s="37">
        <v>45494</v>
      </c>
      <c r="B121" s="37" t="s">
        <v>396</v>
      </c>
      <c r="C121" s="38" t="s">
        <v>3</v>
      </c>
      <c r="D121" s="39" t="s">
        <v>44</v>
      </c>
      <c r="E121" s="40" t="s">
        <v>45</v>
      </c>
      <c r="F121" s="38" t="s">
        <v>32</v>
      </c>
      <c r="G121" s="41">
        <v>1799</v>
      </c>
      <c r="H121" s="42">
        <v>89.95</v>
      </c>
      <c r="I121" s="42">
        <v>224.875</v>
      </c>
      <c r="J121" s="42">
        <v>197.89000000000001</v>
      </c>
      <c r="K121" s="41">
        <v>2311.7149999999997</v>
      </c>
      <c r="L121" s="43">
        <v>3</v>
      </c>
      <c r="M121" s="41">
        <v>6935.1449999999986</v>
      </c>
      <c r="N121" s="41">
        <v>1040.2717499999997</v>
      </c>
      <c r="O121" s="41">
        <v>5894.8732499999987</v>
      </c>
    </row>
    <row r="122" spans="1:15" x14ac:dyDescent="0.25">
      <c r="A122" s="37">
        <v>45377</v>
      </c>
      <c r="B122" s="37" t="s">
        <v>399</v>
      </c>
      <c r="C122" s="38" t="s">
        <v>14</v>
      </c>
      <c r="D122" s="39" t="s">
        <v>53</v>
      </c>
      <c r="E122" s="40" t="s">
        <v>54</v>
      </c>
      <c r="F122" s="38" t="s">
        <v>32</v>
      </c>
      <c r="G122" s="41">
        <v>1799</v>
      </c>
      <c r="H122" s="42">
        <v>89.95</v>
      </c>
      <c r="I122" s="42">
        <v>224.875</v>
      </c>
      <c r="J122" s="42">
        <v>197.89000000000001</v>
      </c>
      <c r="K122" s="41">
        <v>2311.7149999999997</v>
      </c>
      <c r="L122" s="43">
        <v>6</v>
      </c>
      <c r="M122" s="41">
        <v>13870.289999999997</v>
      </c>
      <c r="N122" s="41">
        <v>2080.5434999999993</v>
      </c>
      <c r="O122" s="41">
        <v>11789.746499999997</v>
      </c>
    </row>
    <row r="123" spans="1:15" x14ac:dyDescent="0.25">
      <c r="A123" s="37">
        <v>45456</v>
      </c>
      <c r="B123" s="37" t="s">
        <v>389</v>
      </c>
      <c r="C123" s="38" t="s">
        <v>10</v>
      </c>
      <c r="D123" s="39" t="s">
        <v>39</v>
      </c>
      <c r="E123" s="40" t="s">
        <v>40</v>
      </c>
      <c r="F123" s="38" t="s">
        <v>35</v>
      </c>
      <c r="G123" s="41">
        <v>485</v>
      </c>
      <c r="H123" s="42">
        <v>24.25</v>
      </c>
      <c r="I123" s="42">
        <v>60.625</v>
      </c>
      <c r="J123" s="42">
        <v>53.35</v>
      </c>
      <c r="K123" s="41">
        <v>623.22500000000002</v>
      </c>
      <c r="L123" s="43">
        <v>6</v>
      </c>
      <c r="M123" s="41">
        <v>3739.3500000000004</v>
      </c>
      <c r="N123" s="41">
        <v>560.90250000000003</v>
      </c>
      <c r="O123" s="41">
        <v>3178.4475000000002</v>
      </c>
    </row>
    <row r="124" spans="1:15" x14ac:dyDescent="0.25">
      <c r="A124" s="37">
        <v>45488</v>
      </c>
      <c r="B124" s="37" t="s">
        <v>396</v>
      </c>
      <c r="C124" s="38" t="s">
        <v>7</v>
      </c>
      <c r="D124" s="39" t="s">
        <v>8</v>
      </c>
      <c r="E124" s="40" t="s">
        <v>9</v>
      </c>
      <c r="F124" s="38" t="s">
        <v>35</v>
      </c>
      <c r="G124" s="41">
        <v>799</v>
      </c>
      <c r="H124" s="42">
        <v>39.950000000000003</v>
      </c>
      <c r="I124" s="42">
        <v>99.875</v>
      </c>
      <c r="J124" s="42">
        <v>87.89</v>
      </c>
      <c r="K124" s="41">
        <v>1026.7150000000001</v>
      </c>
      <c r="L124" s="43">
        <v>8</v>
      </c>
      <c r="M124" s="41">
        <v>8213.7200000000012</v>
      </c>
      <c r="N124" s="41">
        <v>1232.0580000000002</v>
      </c>
      <c r="O124" s="41">
        <v>6981.6620000000012</v>
      </c>
    </row>
    <row r="125" spans="1:15" x14ac:dyDescent="0.25">
      <c r="A125" s="37">
        <v>45563</v>
      </c>
      <c r="B125" s="37" t="s">
        <v>398</v>
      </c>
      <c r="C125" s="38" t="s">
        <v>3</v>
      </c>
      <c r="D125" s="39" t="s">
        <v>25</v>
      </c>
      <c r="E125" s="40" t="s">
        <v>26</v>
      </c>
      <c r="F125" s="38" t="s">
        <v>61</v>
      </c>
      <c r="G125" s="41">
        <v>210</v>
      </c>
      <c r="H125" s="42">
        <v>10.5</v>
      </c>
      <c r="I125" s="42">
        <v>26.25</v>
      </c>
      <c r="J125" s="42">
        <v>23.1</v>
      </c>
      <c r="K125" s="41">
        <v>269.85000000000002</v>
      </c>
      <c r="L125" s="43">
        <v>5</v>
      </c>
      <c r="M125" s="41">
        <v>1349.25</v>
      </c>
      <c r="N125" s="41">
        <v>202.38749999999999</v>
      </c>
      <c r="O125" s="41">
        <v>1146.8625</v>
      </c>
    </row>
    <row r="126" spans="1:15" x14ac:dyDescent="0.25">
      <c r="A126" s="37">
        <v>45556</v>
      </c>
      <c r="B126" s="37" t="s">
        <v>398</v>
      </c>
      <c r="C126" s="38" t="s">
        <v>22</v>
      </c>
      <c r="D126" s="39" t="s">
        <v>23</v>
      </c>
      <c r="E126" s="40" t="s">
        <v>24</v>
      </c>
      <c r="F126" s="38" t="s">
        <v>36</v>
      </c>
      <c r="G126" s="41">
        <v>499</v>
      </c>
      <c r="H126" s="42">
        <v>24.950000000000003</v>
      </c>
      <c r="I126" s="42">
        <v>62.375</v>
      </c>
      <c r="J126" s="42">
        <v>54.89</v>
      </c>
      <c r="K126" s="41">
        <v>641.21500000000003</v>
      </c>
      <c r="L126" s="43">
        <v>1</v>
      </c>
      <c r="M126" s="41">
        <v>641.21500000000003</v>
      </c>
      <c r="N126" s="41">
        <v>96.182249999999996</v>
      </c>
      <c r="O126" s="41">
        <v>545.03275000000008</v>
      </c>
    </row>
    <row r="127" spans="1:15" x14ac:dyDescent="0.25">
      <c r="A127" s="37">
        <v>45536</v>
      </c>
      <c r="B127" s="37" t="s">
        <v>398</v>
      </c>
      <c r="C127" s="38" t="s">
        <v>22</v>
      </c>
      <c r="D127" s="39" t="s">
        <v>41</v>
      </c>
      <c r="E127" s="40" t="s">
        <v>42</v>
      </c>
      <c r="F127" s="38" t="s">
        <v>66</v>
      </c>
      <c r="G127" s="41">
        <v>549</v>
      </c>
      <c r="H127" s="42">
        <v>27.450000000000003</v>
      </c>
      <c r="I127" s="42">
        <v>68.625</v>
      </c>
      <c r="J127" s="42">
        <v>60.39</v>
      </c>
      <c r="K127" s="41">
        <v>705.46500000000003</v>
      </c>
      <c r="L127" s="43">
        <v>3</v>
      </c>
      <c r="M127" s="41">
        <v>2116.395</v>
      </c>
      <c r="N127" s="41">
        <v>317.45925</v>
      </c>
      <c r="O127" s="41">
        <v>1798.9357500000001</v>
      </c>
    </row>
    <row r="128" spans="1:15" x14ac:dyDescent="0.25">
      <c r="A128" s="37">
        <v>45312</v>
      </c>
      <c r="B128" s="37" t="s">
        <v>390</v>
      </c>
      <c r="C128" s="38" t="s">
        <v>14</v>
      </c>
      <c r="D128" s="39" t="s">
        <v>15</v>
      </c>
      <c r="E128" s="40" t="s">
        <v>16</v>
      </c>
      <c r="F128" s="38" t="s">
        <v>38</v>
      </c>
      <c r="G128" s="41">
        <v>329</v>
      </c>
      <c r="H128" s="42">
        <v>16.45</v>
      </c>
      <c r="I128" s="42">
        <v>41.125</v>
      </c>
      <c r="J128" s="42">
        <v>36.19</v>
      </c>
      <c r="K128" s="41">
        <v>422.76499999999999</v>
      </c>
      <c r="L128" s="43">
        <v>3</v>
      </c>
      <c r="M128" s="41">
        <v>1268.2950000000001</v>
      </c>
      <c r="N128" s="41">
        <v>190.24424999999999</v>
      </c>
      <c r="O128" s="41">
        <v>1078.0507500000001</v>
      </c>
    </row>
    <row r="129" spans="1:15" x14ac:dyDescent="0.25">
      <c r="A129" s="37">
        <v>45530</v>
      </c>
      <c r="B129" s="37" t="s">
        <v>391</v>
      </c>
      <c r="C129" s="38" t="s">
        <v>22</v>
      </c>
      <c r="D129" s="39" t="s">
        <v>23</v>
      </c>
      <c r="E129" s="40" t="s">
        <v>24</v>
      </c>
      <c r="F129" s="38" t="s">
        <v>38</v>
      </c>
      <c r="G129" s="41">
        <v>575</v>
      </c>
      <c r="H129" s="42">
        <v>28.75</v>
      </c>
      <c r="I129" s="42">
        <v>71.875</v>
      </c>
      <c r="J129" s="42">
        <v>63.25</v>
      </c>
      <c r="K129" s="41">
        <v>738.875</v>
      </c>
      <c r="L129" s="43">
        <v>8</v>
      </c>
      <c r="M129" s="41">
        <v>5911</v>
      </c>
      <c r="N129" s="41">
        <v>886.65</v>
      </c>
      <c r="O129" s="41">
        <v>5024.3500000000004</v>
      </c>
    </row>
    <row r="130" spans="1:15" x14ac:dyDescent="0.25">
      <c r="A130" s="37">
        <v>45440</v>
      </c>
      <c r="B130" s="37" t="s">
        <v>394</v>
      </c>
      <c r="C130" s="38" t="s">
        <v>22</v>
      </c>
      <c r="D130" s="39" t="s">
        <v>23</v>
      </c>
      <c r="E130" s="40" t="s">
        <v>24</v>
      </c>
      <c r="F130" s="38" t="s">
        <v>13</v>
      </c>
      <c r="G130" s="41">
        <v>1149</v>
      </c>
      <c r="H130" s="42">
        <v>57.45</v>
      </c>
      <c r="I130" s="42">
        <v>143.625</v>
      </c>
      <c r="J130" s="42">
        <v>126.39</v>
      </c>
      <c r="K130" s="41">
        <v>1476.4650000000001</v>
      </c>
      <c r="L130" s="43">
        <v>3</v>
      </c>
      <c r="M130" s="41">
        <v>4429.3950000000004</v>
      </c>
      <c r="N130" s="41">
        <v>664.40925000000004</v>
      </c>
      <c r="O130" s="41">
        <v>3764.9857500000003</v>
      </c>
    </row>
    <row r="131" spans="1:15" x14ac:dyDescent="0.25">
      <c r="A131" s="37">
        <v>45549</v>
      </c>
      <c r="B131" s="37" t="s">
        <v>398</v>
      </c>
      <c r="C131" s="38" t="s">
        <v>7</v>
      </c>
      <c r="D131" s="39" t="s">
        <v>8</v>
      </c>
      <c r="E131" s="40" t="s">
        <v>9</v>
      </c>
      <c r="F131" s="38" t="s">
        <v>43</v>
      </c>
      <c r="G131" s="41">
        <v>1510</v>
      </c>
      <c r="H131" s="42">
        <v>75.5</v>
      </c>
      <c r="I131" s="42">
        <v>188.75</v>
      </c>
      <c r="J131" s="42">
        <v>166.1</v>
      </c>
      <c r="K131" s="41">
        <v>1940.35</v>
      </c>
      <c r="L131" s="43">
        <v>6</v>
      </c>
      <c r="M131" s="41">
        <v>11642.099999999999</v>
      </c>
      <c r="N131" s="41">
        <v>1746.3149999999998</v>
      </c>
      <c r="O131" s="41">
        <v>9895.784999999998</v>
      </c>
    </row>
    <row r="132" spans="1:15" x14ac:dyDescent="0.25">
      <c r="A132" s="37">
        <v>45645</v>
      </c>
      <c r="B132" s="37" t="s">
        <v>397</v>
      </c>
      <c r="C132" s="38" t="s">
        <v>10</v>
      </c>
      <c r="D132" s="39" t="s">
        <v>39</v>
      </c>
      <c r="E132" s="40" t="s">
        <v>40</v>
      </c>
      <c r="F132" s="38" t="s">
        <v>43</v>
      </c>
      <c r="G132" s="41">
        <v>1510</v>
      </c>
      <c r="H132" s="42">
        <v>75.5</v>
      </c>
      <c r="I132" s="42">
        <v>188.75</v>
      </c>
      <c r="J132" s="42">
        <v>166.1</v>
      </c>
      <c r="K132" s="41">
        <v>1940.35</v>
      </c>
      <c r="L132" s="43">
        <v>4</v>
      </c>
      <c r="M132" s="41">
        <v>7761.4</v>
      </c>
      <c r="N132" s="41">
        <v>1164.2099999999998</v>
      </c>
      <c r="O132" s="41">
        <v>6597.19</v>
      </c>
    </row>
    <row r="133" spans="1:15" x14ac:dyDescent="0.25">
      <c r="A133" s="37">
        <v>45300</v>
      </c>
      <c r="B133" s="37" t="s">
        <v>390</v>
      </c>
      <c r="C133" s="38" t="s">
        <v>3</v>
      </c>
      <c r="D133" s="39" t="s">
        <v>4</v>
      </c>
      <c r="E133" s="40" t="s">
        <v>5</v>
      </c>
      <c r="F133" s="38" t="s">
        <v>17</v>
      </c>
      <c r="G133" s="41">
        <v>785</v>
      </c>
      <c r="H133" s="42">
        <v>39.25</v>
      </c>
      <c r="I133" s="42">
        <v>98.125</v>
      </c>
      <c r="J133" s="42">
        <v>86.35</v>
      </c>
      <c r="K133" s="41">
        <v>1008.725</v>
      </c>
      <c r="L133" s="43">
        <v>2</v>
      </c>
      <c r="M133" s="41">
        <v>2017.45</v>
      </c>
      <c r="N133" s="41">
        <v>302.61750000000001</v>
      </c>
      <c r="O133" s="41">
        <v>1714.8325</v>
      </c>
    </row>
    <row r="134" spans="1:15" x14ac:dyDescent="0.25">
      <c r="A134" s="37">
        <v>45567</v>
      </c>
      <c r="B134" s="37" t="s">
        <v>392</v>
      </c>
      <c r="C134" s="38" t="s">
        <v>14</v>
      </c>
      <c r="D134" s="39" t="s">
        <v>55</v>
      </c>
      <c r="E134" s="40" t="s">
        <v>56</v>
      </c>
      <c r="F134" s="38" t="s">
        <v>21</v>
      </c>
      <c r="G134" s="41">
        <v>2000</v>
      </c>
      <c r="H134" s="42">
        <v>100</v>
      </c>
      <c r="I134" s="42">
        <v>250</v>
      </c>
      <c r="J134" s="42">
        <v>220</v>
      </c>
      <c r="K134" s="41">
        <v>2570</v>
      </c>
      <c r="L134" s="43">
        <v>2</v>
      </c>
      <c r="M134" s="41">
        <v>5140</v>
      </c>
      <c r="N134" s="41">
        <v>771</v>
      </c>
      <c r="O134" s="41">
        <v>4369</v>
      </c>
    </row>
    <row r="135" spans="1:15" x14ac:dyDescent="0.25">
      <c r="A135" s="37">
        <v>45488</v>
      </c>
      <c r="B135" s="37" t="s">
        <v>396</v>
      </c>
      <c r="C135" s="38" t="s">
        <v>3</v>
      </c>
      <c r="D135" s="39" t="s">
        <v>25</v>
      </c>
      <c r="E135" s="40" t="s">
        <v>26</v>
      </c>
      <c r="F135" s="38" t="s">
        <v>57</v>
      </c>
      <c r="G135" s="41">
        <v>1299</v>
      </c>
      <c r="H135" s="42">
        <v>64.95</v>
      </c>
      <c r="I135" s="42">
        <v>162.375</v>
      </c>
      <c r="J135" s="42">
        <v>142.89000000000001</v>
      </c>
      <c r="K135" s="41">
        <v>1669.2150000000001</v>
      </c>
      <c r="L135" s="43">
        <v>7</v>
      </c>
      <c r="M135" s="41">
        <v>11684.505000000001</v>
      </c>
      <c r="N135" s="41">
        <v>1752.6757500000001</v>
      </c>
      <c r="O135" s="41">
        <v>9931.8292500000007</v>
      </c>
    </row>
    <row r="136" spans="1:15" x14ac:dyDescent="0.25">
      <c r="A136" s="37">
        <v>45652</v>
      </c>
      <c r="B136" s="37" t="s">
        <v>397</v>
      </c>
      <c r="C136" s="38" t="s">
        <v>3</v>
      </c>
      <c r="D136" s="39" t="s">
        <v>25</v>
      </c>
      <c r="E136" s="40" t="s">
        <v>26</v>
      </c>
      <c r="F136" s="38" t="s">
        <v>46</v>
      </c>
      <c r="G136" s="41">
        <v>499</v>
      </c>
      <c r="H136" s="42">
        <v>24.950000000000003</v>
      </c>
      <c r="I136" s="42">
        <v>62.375</v>
      </c>
      <c r="J136" s="42">
        <v>54.89</v>
      </c>
      <c r="K136" s="41">
        <v>641.21500000000003</v>
      </c>
      <c r="L136" s="43">
        <v>8</v>
      </c>
      <c r="M136" s="41">
        <v>5129.72</v>
      </c>
      <c r="N136" s="41">
        <v>769.45799999999997</v>
      </c>
      <c r="O136" s="41">
        <v>4360.2620000000006</v>
      </c>
    </row>
    <row r="137" spans="1:15" x14ac:dyDescent="0.25">
      <c r="A137" s="37">
        <v>45378</v>
      </c>
      <c r="B137" s="37" t="s">
        <v>399</v>
      </c>
      <c r="C137" s="38" t="s">
        <v>7</v>
      </c>
      <c r="D137" s="39" t="s">
        <v>8</v>
      </c>
      <c r="E137" s="40" t="s">
        <v>9</v>
      </c>
      <c r="F137" s="38" t="s">
        <v>64</v>
      </c>
      <c r="G137" s="41">
        <v>419</v>
      </c>
      <c r="H137" s="42">
        <v>20.950000000000003</v>
      </c>
      <c r="I137" s="42">
        <v>52.375</v>
      </c>
      <c r="J137" s="42">
        <v>46.09</v>
      </c>
      <c r="K137" s="41">
        <v>538.41499999999996</v>
      </c>
      <c r="L137" s="43">
        <v>5</v>
      </c>
      <c r="M137" s="41">
        <v>2692.0749999999998</v>
      </c>
      <c r="N137" s="41">
        <v>403.81124999999997</v>
      </c>
      <c r="O137" s="41">
        <v>2288.2637500000001</v>
      </c>
    </row>
    <row r="138" spans="1:15" x14ac:dyDescent="0.25">
      <c r="A138" s="37">
        <v>45313</v>
      </c>
      <c r="B138" s="37" t="s">
        <v>390</v>
      </c>
      <c r="C138" s="38" t="s">
        <v>14</v>
      </c>
      <c r="D138" s="39" t="s">
        <v>53</v>
      </c>
      <c r="E138" s="40" t="s">
        <v>54</v>
      </c>
      <c r="F138" s="38" t="s">
        <v>47</v>
      </c>
      <c r="G138" s="41">
        <v>1299</v>
      </c>
      <c r="H138" s="42">
        <v>64.95</v>
      </c>
      <c r="I138" s="42">
        <v>162.375</v>
      </c>
      <c r="J138" s="42">
        <v>142.89000000000001</v>
      </c>
      <c r="K138" s="41">
        <v>1669.2150000000001</v>
      </c>
      <c r="L138" s="43">
        <v>1</v>
      </c>
      <c r="M138" s="41">
        <v>1669.2150000000001</v>
      </c>
      <c r="N138" s="41">
        <v>250.38225</v>
      </c>
      <c r="O138" s="41">
        <v>1418.83275</v>
      </c>
    </row>
    <row r="139" spans="1:15" x14ac:dyDescent="0.25">
      <c r="A139" s="37">
        <v>45462</v>
      </c>
      <c r="B139" s="37" t="s">
        <v>389</v>
      </c>
      <c r="C139" s="38" t="s">
        <v>7</v>
      </c>
      <c r="D139" s="39" t="s">
        <v>18</v>
      </c>
      <c r="E139" s="40" t="s">
        <v>19</v>
      </c>
      <c r="F139" s="38" t="s">
        <v>49</v>
      </c>
      <c r="G139" s="41">
        <v>349</v>
      </c>
      <c r="H139" s="42">
        <v>17.45</v>
      </c>
      <c r="I139" s="42">
        <v>43.625</v>
      </c>
      <c r="J139" s="42">
        <v>38.39</v>
      </c>
      <c r="K139" s="41">
        <v>448.46499999999997</v>
      </c>
      <c r="L139" s="43">
        <v>4</v>
      </c>
      <c r="M139" s="41">
        <v>1793.86</v>
      </c>
      <c r="N139" s="41">
        <v>269.07899999999995</v>
      </c>
      <c r="O139" s="41">
        <v>1524.7809999999999</v>
      </c>
    </row>
    <row r="140" spans="1:15" x14ac:dyDescent="0.25">
      <c r="A140" s="37">
        <v>45565</v>
      </c>
      <c r="B140" s="37" t="s">
        <v>398</v>
      </c>
      <c r="C140" s="38" t="s">
        <v>10</v>
      </c>
      <c r="D140" s="39" t="s">
        <v>39</v>
      </c>
      <c r="E140" s="40" t="s">
        <v>40</v>
      </c>
      <c r="F140" s="38" t="s">
        <v>65</v>
      </c>
      <c r="G140" s="41">
        <v>1799</v>
      </c>
      <c r="H140" s="42">
        <v>89.95</v>
      </c>
      <c r="I140" s="42">
        <v>224.875</v>
      </c>
      <c r="J140" s="42">
        <v>197.89000000000001</v>
      </c>
      <c r="K140" s="41">
        <v>2311.7149999999997</v>
      </c>
      <c r="L140" s="43">
        <v>6</v>
      </c>
      <c r="M140" s="41">
        <v>13870.289999999997</v>
      </c>
      <c r="N140" s="41">
        <v>2080.5434999999993</v>
      </c>
      <c r="O140" s="41">
        <v>11789.746499999997</v>
      </c>
    </row>
    <row r="141" spans="1:15" x14ac:dyDescent="0.25">
      <c r="A141" s="37">
        <v>45507</v>
      </c>
      <c r="B141" s="37" t="s">
        <v>391</v>
      </c>
      <c r="C141" s="38" t="s">
        <v>7</v>
      </c>
      <c r="D141" s="39" t="s">
        <v>18</v>
      </c>
      <c r="E141" s="40" t="s">
        <v>19</v>
      </c>
      <c r="F141" s="38" t="s">
        <v>58</v>
      </c>
      <c r="G141" s="41">
        <v>369</v>
      </c>
      <c r="H141" s="42">
        <v>18.45</v>
      </c>
      <c r="I141" s="42">
        <v>46.125</v>
      </c>
      <c r="J141" s="42">
        <v>40.590000000000003</v>
      </c>
      <c r="K141" s="41">
        <v>474.16499999999996</v>
      </c>
      <c r="L141" s="43">
        <v>8</v>
      </c>
      <c r="M141" s="41">
        <v>3793.3199999999997</v>
      </c>
      <c r="N141" s="41">
        <v>568.99799999999993</v>
      </c>
      <c r="O141" s="41">
        <v>3224.3219999999997</v>
      </c>
    </row>
    <row r="142" spans="1:15" x14ac:dyDescent="0.25">
      <c r="A142" s="37">
        <v>45422</v>
      </c>
      <c r="B142" s="37" t="s">
        <v>394</v>
      </c>
      <c r="C142" s="38" t="s">
        <v>7</v>
      </c>
      <c r="D142" s="39" t="s">
        <v>8</v>
      </c>
      <c r="E142" s="40" t="s">
        <v>9</v>
      </c>
      <c r="F142" s="38" t="s">
        <v>50</v>
      </c>
      <c r="G142" s="41">
        <v>31.9</v>
      </c>
      <c r="H142" s="42">
        <v>1.595</v>
      </c>
      <c r="I142" s="42">
        <v>3.9874999999999998</v>
      </c>
      <c r="J142" s="42">
        <v>3.5089999999999999</v>
      </c>
      <c r="K142" s="41">
        <v>40.991499999999995</v>
      </c>
      <c r="L142" s="43">
        <v>6</v>
      </c>
      <c r="M142" s="41">
        <v>245.94899999999996</v>
      </c>
      <c r="N142" s="41">
        <v>36.892349999999993</v>
      </c>
      <c r="O142" s="41">
        <v>209.05664999999996</v>
      </c>
    </row>
    <row r="143" spans="1:15" x14ac:dyDescent="0.25">
      <c r="A143" s="37">
        <v>45455</v>
      </c>
      <c r="B143" s="37" t="s">
        <v>389</v>
      </c>
      <c r="C143" s="38" t="s">
        <v>14</v>
      </c>
      <c r="D143" s="39" t="s">
        <v>55</v>
      </c>
      <c r="E143" s="40" t="s">
        <v>56</v>
      </c>
      <c r="F143" s="38" t="s">
        <v>51</v>
      </c>
      <c r="G143" s="41">
        <v>299</v>
      </c>
      <c r="H143" s="42">
        <v>14.950000000000001</v>
      </c>
      <c r="I143" s="42">
        <v>37.375</v>
      </c>
      <c r="J143" s="42">
        <v>32.89</v>
      </c>
      <c r="K143" s="41">
        <v>384.21499999999997</v>
      </c>
      <c r="L143" s="43">
        <v>3</v>
      </c>
      <c r="M143" s="41">
        <v>1152.645</v>
      </c>
      <c r="N143" s="41">
        <v>172.89675</v>
      </c>
      <c r="O143" s="41">
        <v>979.74824999999998</v>
      </c>
    </row>
    <row r="144" spans="1:15" x14ac:dyDescent="0.25">
      <c r="A144" s="37">
        <v>45554</v>
      </c>
      <c r="B144" s="37" t="s">
        <v>398</v>
      </c>
      <c r="C144" s="38" t="s">
        <v>14</v>
      </c>
      <c r="D144" s="39" t="s">
        <v>15</v>
      </c>
      <c r="E144" s="40" t="s">
        <v>16</v>
      </c>
      <c r="F144" s="38" t="s">
        <v>59</v>
      </c>
      <c r="G144" s="41">
        <v>3499</v>
      </c>
      <c r="H144" s="42">
        <v>174.95000000000002</v>
      </c>
      <c r="I144" s="42">
        <v>437.375</v>
      </c>
      <c r="J144" s="42">
        <v>384.89</v>
      </c>
      <c r="K144" s="41">
        <v>4496.2150000000001</v>
      </c>
      <c r="L144" s="43">
        <v>7</v>
      </c>
      <c r="M144" s="41">
        <v>31473.505000000001</v>
      </c>
      <c r="N144" s="41">
        <v>4721.0257499999998</v>
      </c>
      <c r="O144" s="41">
        <v>26752.47925</v>
      </c>
    </row>
    <row r="145" spans="1:15" x14ac:dyDescent="0.25">
      <c r="A145" s="37">
        <v>45406</v>
      </c>
      <c r="B145" s="37" t="s">
        <v>393</v>
      </c>
      <c r="C145" s="38" t="s">
        <v>7</v>
      </c>
      <c r="D145" s="39" t="s">
        <v>8</v>
      </c>
      <c r="E145" s="40" t="s">
        <v>9</v>
      </c>
      <c r="F145" s="38" t="s">
        <v>30</v>
      </c>
      <c r="G145" s="41">
        <v>4999</v>
      </c>
      <c r="H145" s="42">
        <v>249.95000000000002</v>
      </c>
      <c r="I145" s="42">
        <v>624.875</v>
      </c>
      <c r="J145" s="42">
        <v>549.89</v>
      </c>
      <c r="K145" s="41">
        <v>6423.7150000000001</v>
      </c>
      <c r="L145" s="43">
        <v>4</v>
      </c>
      <c r="M145" s="41">
        <v>25694.86</v>
      </c>
      <c r="N145" s="41">
        <v>3854.2289999999998</v>
      </c>
      <c r="O145" s="41">
        <v>21840.631000000001</v>
      </c>
    </row>
    <row r="146" spans="1:15" x14ac:dyDescent="0.25">
      <c r="A146" s="37">
        <v>45650</v>
      </c>
      <c r="B146" s="37" t="s">
        <v>397</v>
      </c>
      <c r="C146" s="38" t="s">
        <v>14</v>
      </c>
      <c r="D146" s="39" t="s">
        <v>15</v>
      </c>
      <c r="E146" s="40" t="s">
        <v>16</v>
      </c>
      <c r="F146" s="38" t="s">
        <v>60</v>
      </c>
      <c r="G146" s="41">
        <v>2699</v>
      </c>
      <c r="H146" s="42">
        <v>134.95000000000002</v>
      </c>
      <c r="I146" s="42">
        <v>337.375</v>
      </c>
      <c r="J146" s="42">
        <v>296.89</v>
      </c>
      <c r="K146" s="41">
        <v>3468.2149999999997</v>
      </c>
      <c r="L146" s="43">
        <v>2</v>
      </c>
      <c r="M146" s="41">
        <v>6936.4299999999994</v>
      </c>
      <c r="N146" s="41">
        <v>1040.4644999999998</v>
      </c>
      <c r="O146" s="41">
        <v>5895.9654999999993</v>
      </c>
    </row>
    <row r="147" spans="1:15" x14ac:dyDescent="0.25">
      <c r="A147" s="37">
        <v>45514</v>
      </c>
      <c r="B147" s="37" t="s">
        <v>391</v>
      </c>
      <c r="C147" s="38" t="s">
        <v>22</v>
      </c>
      <c r="D147" s="39" t="s">
        <v>41</v>
      </c>
      <c r="E147" s="40" t="s">
        <v>42</v>
      </c>
      <c r="F147" s="38" t="s">
        <v>60</v>
      </c>
      <c r="G147" s="41">
        <v>2699</v>
      </c>
      <c r="H147" s="42">
        <v>134.95000000000002</v>
      </c>
      <c r="I147" s="42">
        <v>337.375</v>
      </c>
      <c r="J147" s="42">
        <v>296.89</v>
      </c>
      <c r="K147" s="41">
        <v>3468.2149999999997</v>
      </c>
      <c r="L147" s="43">
        <v>7</v>
      </c>
      <c r="M147" s="41">
        <v>24277.504999999997</v>
      </c>
      <c r="N147" s="41">
        <v>3641.6257499999997</v>
      </c>
      <c r="O147" s="41">
        <v>20635.879249999998</v>
      </c>
    </row>
    <row r="148" spans="1:15" x14ac:dyDescent="0.25">
      <c r="A148" s="37">
        <v>45559</v>
      </c>
      <c r="B148" s="37" t="s">
        <v>398</v>
      </c>
      <c r="C148" s="38" t="s">
        <v>7</v>
      </c>
      <c r="D148" s="39" t="s">
        <v>18</v>
      </c>
      <c r="E148" s="40" t="s">
        <v>19</v>
      </c>
      <c r="F148" s="38" t="s">
        <v>67</v>
      </c>
      <c r="G148" s="41">
        <v>799</v>
      </c>
      <c r="H148" s="42">
        <v>39.950000000000003</v>
      </c>
      <c r="I148" s="42">
        <v>99.875</v>
      </c>
      <c r="J148" s="42">
        <v>87.89</v>
      </c>
      <c r="K148" s="41">
        <v>1026.7150000000001</v>
      </c>
      <c r="L148" s="43">
        <v>4</v>
      </c>
      <c r="M148" s="41">
        <v>4106.8600000000006</v>
      </c>
      <c r="N148" s="41">
        <v>616.02900000000011</v>
      </c>
      <c r="O148" s="41">
        <v>3490.8310000000006</v>
      </c>
    </row>
    <row r="149" spans="1:15" x14ac:dyDescent="0.25">
      <c r="A149" s="37">
        <v>45553</v>
      </c>
      <c r="B149" s="37" t="s">
        <v>398</v>
      </c>
      <c r="C149" s="38" t="s">
        <v>10</v>
      </c>
      <c r="D149" s="39" t="s">
        <v>28</v>
      </c>
      <c r="E149" s="40" t="s">
        <v>29</v>
      </c>
      <c r="F149" s="38" t="s">
        <v>61</v>
      </c>
      <c r="G149" s="41">
        <v>279</v>
      </c>
      <c r="H149" s="42">
        <v>13.950000000000001</v>
      </c>
      <c r="I149" s="42">
        <v>34.875</v>
      </c>
      <c r="J149" s="42">
        <v>30.69</v>
      </c>
      <c r="K149" s="41">
        <v>358.51499999999999</v>
      </c>
      <c r="L149" s="43">
        <v>6</v>
      </c>
      <c r="M149" s="41">
        <v>2151.09</v>
      </c>
      <c r="N149" s="41">
        <v>322.6635</v>
      </c>
      <c r="O149" s="41">
        <v>1828.4265</v>
      </c>
    </row>
    <row r="150" spans="1:15" x14ac:dyDescent="0.25">
      <c r="A150" s="37">
        <v>45330</v>
      </c>
      <c r="B150" s="37" t="s">
        <v>400</v>
      </c>
      <c r="C150" s="38" t="s">
        <v>22</v>
      </c>
      <c r="D150" s="39" t="s">
        <v>23</v>
      </c>
      <c r="E150" s="40" t="s">
        <v>24</v>
      </c>
      <c r="F150" s="38" t="s">
        <v>61</v>
      </c>
      <c r="G150" s="41">
        <v>279</v>
      </c>
      <c r="H150" s="42">
        <v>13.950000000000001</v>
      </c>
      <c r="I150" s="42">
        <v>34.875</v>
      </c>
      <c r="J150" s="42">
        <v>30.69</v>
      </c>
      <c r="K150" s="41">
        <v>358.51499999999999</v>
      </c>
      <c r="L150" s="43">
        <v>2</v>
      </c>
      <c r="M150" s="41">
        <v>717.03</v>
      </c>
      <c r="N150" s="41">
        <v>107.55449999999999</v>
      </c>
      <c r="O150" s="41">
        <v>609.47550000000001</v>
      </c>
    </row>
    <row r="151" spans="1:15" x14ac:dyDescent="0.25">
      <c r="A151" s="37">
        <v>45294</v>
      </c>
      <c r="B151" s="37" t="s">
        <v>390</v>
      </c>
      <c r="C151" s="38" t="s">
        <v>7</v>
      </c>
      <c r="D151" s="39" t="s">
        <v>8</v>
      </c>
      <c r="E151" s="40" t="s">
        <v>9</v>
      </c>
      <c r="F151" s="38" t="s">
        <v>61</v>
      </c>
      <c r="G151" s="41">
        <v>210</v>
      </c>
      <c r="H151" s="42">
        <v>10.5</v>
      </c>
      <c r="I151" s="42">
        <v>26.25</v>
      </c>
      <c r="J151" s="42">
        <v>23.1</v>
      </c>
      <c r="K151" s="41">
        <v>269.85000000000002</v>
      </c>
      <c r="L151" s="43">
        <v>5</v>
      </c>
      <c r="M151" s="41">
        <v>1349.25</v>
      </c>
      <c r="N151" s="41">
        <v>202.38749999999999</v>
      </c>
      <c r="O151" s="41">
        <v>1146.8625</v>
      </c>
    </row>
    <row r="152" spans="1:15" x14ac:dyDescent="0.25">
      <c r="A152" s="37">
        <v>45615</v>
      </c>
      <c r="B152" s="37" t="s">
        <v>395</v>
      </c>
      <c r="C152" s="38" t="s">
        <v>7</v>
      </c>
      <c r="D152" s="39" t="s">
        <v>18</v>
      </c>
      <c r="E152" s="40" t="s">
        <v>19</v>
      </c>
      <c r="F152" s="38" t="s">
        <v>61</v>
      </c>
      <c r="G152" s="41">
        <v>279</v>
      </c>
      <c r="H152" s="42">
        <v>13.950000000000001</v>
      </c>
      <c r="I152" s="42">
        <v>34.875</v>
      </c>
      <c r="J152" s="42">
        <v>30.69</v>
      </c>
      <c r="K152" s="41">
        <v>358.51499999999999</v>
      </c>
      <c r="L152" s="43">
        <v>8</v>
      </c>
      <c r="M152" s="41">
        <v>2868.12</v>
      </c>
      <c r="N152" s="41">
        <v>430.21799999999996</v>
      </c>
      <c r="O152" s="41">
        <v>2437.902</v>
      </c>
    </row>
    <row r="153" spans="1:15" x14ac:dyDescent="0.25">
      <c r="A153" s="37">
        <v>45574</v>
      </c>
      <c r="B153" s="37" t="s">
        <v>392</v>
      </c>
      <c r="C153" s="38" t="s">
        <v>22</v>
      </c>
      <c r="D153" s="39" t="s">
        <v>33</v>
      </c>
      <c r="E153" s="40" t="s">
        <v>34</v>
      </c>
      <c r="F153" s="38" t="s">
        <v>36</v>
      </c>
      <c r="G153" s="41">
        <v>499</v>
      </c>
      <c r="H153" s="42">
        <v>24.950000000000003</v>
      </c>
      <c r="I153" s="42">
        <v>62.375</v>
      </c>
      <c r="J153" s="42">
        <v>54.89</v>
      </c>
      <c r="K153" s="41">
        <v>641.21500000000003</v>
      </c>
      <c r="L153" s="43">
        <v>1</v>
      </c>
      <c r="M153" s="41">
        <v>641.21500000000003</v>
      </c>
      <c r="N153" s="41">
        <v>96.182249999999996</v>
      </c>
      <c r="O153" s="41">
        <v>545.03275000000008</v>
      </c>
    </row>
    <row r="154" spans="1:15" x14ac:dyDescent="0.25">
      <c r="A154" s="37">
        <v>45316</v>
      </c>
      <c r="B154" s="37" t="s">
        <v>390</v>
      </c>
      <c r="C154" s="38" t="s">
        <v>7</v>
      </c>
      <c r="D154" s="39" t="s">
        <v>8</v>
      </c>
      <c r="E154" s="40" t="s">
        <v>9</v>
      </c>
      <c r="F154" s="38" t="s">
        <v>37</v>
      </c>
      <c r="G154" s="41">
        <v>299</v>
      </c>
      <c r="H154" s="42">
        <v>14.950000000000001</v>
      </c>
      <c r="I154" s="42">
        <v>37.375</v>
      </c>
      <c r="J154" s="42">
        <v>32.89</v>
      </c>
      <c r="K154" s="41">
        <v>384.21499999999997</v>
      </c>
      <c r="L154" s="43">
        <v>7</v>
      </c>
      <c r="M154" s="41">
        <v>2689.5049999999997</v>
      </c>
      <c r="N154" s="41">
        <v>403.42574999999994</v>
      </c>
      <c r="O154" s="41">
        <v>2286.0792499999998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E612-4021-4AFA-AC0B-3BCBCE1C4F77}">
  <dimension ref="A3:M18"/>
  <sheetViews>
    <sheetView showGridLines="0" workbookViewId="0">
      <selection activeCell="L29" sqref="L29"/>
    </sheetView>
  </sheetViews>
  <sheetFormatPr defaultRowHeight="15" x14ac:dyDescent="0.25"/>
  <cols>
    <col min="1" max="1" width="13.85546875" style="45" bestFit="1" customWidth="1"/>
    <col min="2" max="2" width="13.85546875" style="45" customWidth="1"/>
    <col min="3" max="3" width="13.140625" style="46" bestFit="1" customWidth="1"/>
    <col min="4" max="4" width="14.28515625" style="47" bestFit="1" customWidth="1"/>
    <col min="5" max="5" width="8" style="45" bestFit="1" customWidth="1"/>
    <col min="6" max="6" width="50.7109375" style="46" bestFit="1" customWidth="1"/>
    <col min="7" max="7" width="15.28515625" style="48" bestFit="1" customWidth="1"/>
    <col min="8" max="8" width="14.42578125" style="49" bestFit="1" customWidth="1"/>
    <col min="9" max="9" width="19.140625" style="49" bestFit="1" customWidth="1"/>
    <col min="10" max="10" width="15.140625" style="49" bestFit="1" customWidth="1"/>
    <col min="11" max="11" width="13.28515625" style="44" bestFit="1" customWidth="1"/>
    <col min="12" max="12" width="48.5703125" style="50" bestFit="1" customWidth="1"/>
    <col min="13" max="13" width="14.5703125" style="44" bestFit="1" customWidth="1"/>
    <col min="14" max="14" width="24.140625" style="44" bestFit="1" customWidth="1"/>
    <col min="15" max="15" width="13.28515625" style="44" bestFit="1" customWidth="1"/>
    <col min="16" max="19" width="9.140625" style="44"/>
    <col min="20" max="20" width="51.5703125" style="44" bestFit="1" customWidth="1"/>
    <col min="21" max="21" width="12.85546875" style="44" customWidth="1"/>
    <col min="22" max="16384" width="9.140625" style="44"/>
  </cols>
  <sheetData>
    <row r="3" spans="1:13" x14ac:dyDescent="0.25">
      <c r="L3" s="71" t="s">
        <v>404</v>
      </c>
      <c r="M3" s="72" t="s">
        <v>405</v>
      </c>
    </row>
    <row r="4" spans="1:13" x14ac:dyDescent="0.25">
      <c r="A4" s="21" t="s">
        <v>219</v>
      </c>
      <c r="B4" s="27" t="s">
        <v>221</v>
      </c>
      <c r="C4" s="27" t="s">
        <v>222</v>
      </c>
      <c r="D4" s="27" t="s">
        <v>223</v>
      </c>
      <c r="E4" s="28" t="s">
        <v>225</v>
      </c>
      <c r="F4" s="28" t="s">
        <v>204</v>
      </c>
      <c r="G4" s="29" t="s">
        <v>226</v>
      </c>
      <c r="L4" s="8" t="s">
        <v>271</v>
      </c>
      <c r="M4" s="8"/>
    </row>
    <row r="5" spans="1:13" x14ac:dyDescent="0.25">
      <c r="A5" s="30">
        <v>41275</v>
      </c>
      <c r="B5" s="31" t="s">
        <v>229</v>
      </c>
      <c r="C5" s="31" t="s">
        <v>230</v>
      </c>
      <c r="D5" s="31" t="s">
        <v>232</v>
      </c>
      <c r="E5" s="32">
        <v>153</v>
      </c>
      <c r="F5" s="31">
        <v>150</v>
      </c>
      <c r="G5" s="33">
        <f t="shared" ref="G5:G11" si="0">E5*F5</f>
        <v>22950</v>
      </c>
      <c r="L5" s="8" t="s">
        <v>272</v>
      </c>
      <c r="M5" s="8"/>
    </row>
    <row r="6" spans="1:13" x14ac:dyDescent="0.25">
      <c r="A6" s="30">
        <v>41276</v>
      </c>
      <c r="B6" s="31" t="s">
        <v>236</v>
      </c>
      <c r="C6" s="31" t="s">
        <v>230</v>
      </c>
      <c r="D6" s="31" t="s">
        <v>238</v>
      </c>
      <c r="E6" s="32">
        <v>104</v>
      </c>
      <c r="F6" s="32">
        <v>1214</v>
      </c>
      <c r="G6" s="33">
        <f t="shared" si="0"/>
        <v>126256</v>
      </c>
      <c r="L6" s="8" t="s">
        <v>273</v>
      </c>
      <c r="M6" s="8"/>
    </row>
    <row r="7" spans="1:13" x14ac:dyDescent="0.25">
      <c r="A7" s="30">
        <v>41277</v>
      </c>
      <c r="B7" s="31" t="s">
        <v>229</v>
      </c>
      <c r="C7" s="31" t="s">
        <v>242</v>
      </c>
      <c r="D7" s="31" t="s">
        <v>243</v>
      </c>
      <c r="E7" s="32">
        <v>78</v>
      </c>
      <c r="F7" s="32">
        <v>150</v>
      </c>
      <c r="G7" s="33">
        <f t="shared" si="0"/>
        <v>11700</v>
      </c>
      <c r="L7" s="8" t="s">
        <v>270</v>
      </c>
      <c r="M7" s="8"/>
    </row>
    <row r="8" spans="1:13" x14ac:dyDescent="0.25">
      <c r="A8" s="30">
        <v>41278</v>
      </c>
      <c r="B8" s="31" t="s">
        <v>229</v>
      </c>
      <c r="C8" s="31" t="s">
        <v>242</v>
      </c>
      <c r="D8" s="31" t="s">
        <v>246</v>
      </c>
      <c r="E8" s="32">
        <v>94</v>
      </c>
      <c r="F8" s="32">
        <v>150</v>
      </c>
      <c r="G8" s="33">
        <f t="shared" si="0"/>
        <v>14100</v>
      </c>
      <c r="L8" s="8" t="s">
        <v>275</v>
      </c>
      <c r="M8" s="8"/>
    </row>
    <row r="9" spans="1:13" x14ac:dyDescent="0.25">
      <c r="A9" s="30">
        <v>41279</v>
      </c>
      <c r="B9" s="31" t="s">
        <v>229</v>
      </c>
      <c r="C9" s="31" t="s">
        <v>249</v>
      </c>
      <c r="D9" s="31" t="s">
        <v>246</v>
      </c>
      <c r="E9" s="32">
        <v>65</v>
      </c>
      <c r="F9" s="32">
        <v>150</v>
      </c>
      <c r="G9" s="33">
        <f t="shared" si="0"/>
        <v>9750</v>
      </c>
      <c r="L9" s="8" t="s">
        <v>274</v>
      </c>
      <c r="M9" s="8"/>
    </row>
    <row r="10" spans="1:13" x14ac:dyDescent="0.25">
      <c r="A10" s="30">
        <v>41280</v>
      </c>
      <c r="B10" s="31" t="s">
        <v>251</v>
      </c>
      <c r="C10" s="31" t="s">
        <v>230</v>
      </c>
      <c r="D10" s="31" t="s">
        <v>238</v>
      </c>
      <c r="E10" s="32">
        <v>81</v>
      </c>
      <c r="F10" s="32">
        <v>14</v>
      </c>
      <c r="G10" s="33">
        <f t="shared" si="0"/>
        <v>1134</v>
      </c>
      <c r="L10" s="8" t="s">
        <v>276</v>
      </c>
      <c r="M10" s="8"/>
    </row>
    <row r="11" spans="1:13" x14ac:dyDescent="0.25">
      <c r="A11" s="30">
        <v>41281</v>
      </c>
      <c r="B11" s="31" t="s">
        <v>253</v>
      </c>
      <c r="C11" s="31" t="s">
        <v>230</v>
      </c>
      <c r="D11" s="31" t="s">
        <v>238</v>
      </c>
      <c r="E11" s="32">
        <v>116</v>
      </c>
      <c r="F11" s="32">
        <v>110</v>
      </c>
      <c r="G11" s="33">
        <f t="shared" si="0"/>
        <v>12760</v>
      </c>
      <c r="L11" s="8" t="s">
        <v>277</v>
      </c>
      <c r="M11" s="8"/>
    </row>
    <row r="12" spans="1:13" x14ac:dyDescent="0.25">
      <c r="A12" s="30">
        <v>41282</v>
      </c>
      <c r="B12" s="31" t="s">
        <v>229</v>
      </c>
      <c r="C12" s="31" t="s">
        <v>255</v>
      </c>
      <c r="D12" s="31" t="s">
        <v>238</v>
      </c>
      <c r="E12" s="32">
        <v>106</v>
      </c>
      <c r="F12" s="32">
        <v>150</v>
      </c>
      <c r="G12" s="33">
        <v>5874.32</v>
      </c>
    </row>
    <row r="13" spans="1:13" x14ac:dyDescent="0.25">
      <c r="A13" s="30">
        <v>41283</v>
      </c>
      <c r="B13" s="31" t="s">
        <v>229</v>
      </c>
      <c r="C13" s="31" t="s">
        <v>249</v>
      </c>
      <c r="D13" s="31" t="s">
        <v>243</v>
      </c>
      <c r="E13" s="32">
        <v>102</v>
      </c>
      <c r="F13" s="32">
        <v>150</v>
      </c>
      <c r="G13" s="33">
        <f t="shared" ref="G13" si="1">E13*F13</f>
        <v>15300</v>
      </c>
    </row>
    <row r="14" spans="1:13" x14ac:dyDescent="0.25">
      <c r="A14" s="30">
        <v>41284</v>
      </c>
      <c r="B14" s="31" t="s">
        <v>236</v>
      </c>
      <c r="C14" s="31" t="s">
        <v>249</v>
      </c>
      <c r="D14" s="31" t="s">
        <v>246</v>
      </c>
      <c r="E14" s="32">
        <v>111</v>
      </c>
      <c r="F14" s="32">
        <v>1214</v>
      </c>
      <c r="G14" s="33">
        <v>9541.25</v>
      </c>
    </row>
    <row r="15" spans="1:13" x14ac:dyDescent="0.25">
      <c r="A15" s="30">
        <v>41285</v>
      </c>
      <c r="B15" s="31" t="s">
        <v>236</v>
      </c>
      <c r="C15" s="31" t="s">
        <v>230</v>
      </c>
      <c r="D15" s="31" t="s">
        <v>238</v>
      </c>
      <c r="E15" s="32">
        <v>116</v>
      </c>
      <c r="F15" s="32">
        <v>110</v>
      </c>
      <c r="G15" s="33">
        <f t="shared" ref="G15:G18" si="2">E15*F15</f>
        <v>12760</v>
      </c>
    </row>
    <row r="16" spans="1:13" x14ac:dyDescent="0.25">
      <c r="A16" s="30">
        <v>41286</v>
      </c>
      <c r="B16" s="31" t="s">
        <v>229</v>
      </c>
      <c r="C16" s="31" t="s">
        <v>230</v>
      </c>
      <c r="D16" s="31" t="s">
        <v>232</v>
      </c>
      <c r="E16" s="32">
        <v>153</v>
      </c>
      <c r="F16" s="32">
        <v>150</v>
      </c>
      <c r="G16" s="33">
        <f t="shared" si="2"/>
        <v>22950</v>
      </c>
    </row>
    <row r="17" spans="1:7" x14ac:dyDescent="0.25">
      <c r="A17" s="30">
        <v>41287</v>
      </c>
      <c r="B17" s="31" t="s">
        <v>236</v>
      </c>
      <c r="C17" s="31" t="s">
        <v>242</v>
      </c>
      <c r="D17" s="31" t="s">
        <v>246</v>
      </c>
      <c r="E17" s="32">
        <v>111</v>
      </c>
      <c r="F17" s="32">
        <v>1214</v>
      </c>
      <c r="G17" s="33">
        <f t="shared" si="2"/>
        <v>134754</v>
      </c>
    </row>
    <row r="18" spans="1:7" x14ac:dyDescent="0.25">
      <c r="A18" s="30">
        <v>41288</v>
      </c>
      <c r="B18" s="31" t="s">
        <v>253</v>
      </c>
      <c r="C18" s="31" t="s">
        <v>230</v>
      </c>
      <c r="D18" s="31" t="s">
        <v>232</v>
      </c>
      <c r="E18" s="32">
        <v>118</v>
      </c>
      <c r="F18" s="32">
        <v>110</v>
      </c>
      <c r="G18" s="33">
        <f t="shared" si="2"/>
        <v>12980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Competências</vt:lpstr>
      <vt:lpstr>Roteiros da Atv IMC</vt:lpstr>
      <vt:lpstr>Categoria Data e Hora</vt:lpstr>
      <vt:lpstr>Categoria Estatística</vt:lpstr>
      <vt:lpstr>Atividade01</vt:lpstr>
      <vt:lpstr>Ativiade02</vt:lpstr>
      <vt:lpstr>Atividade03</vt:lpstr>
      <vt:lpstr>Atividade04  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Sousa</dc:creator>
  <cp:lastModifiedBy>Romulo Sousa</cp:lastModifiedBy>
  <dcterms:created xsi:type="dcterms:W3CDTF">2023-04-03T03:46:40Z</dcterms:created>
  <dcterms:modified xsi:type="dcterms:W3CDTF">2026-05-25T01:04:09Z</dcterms:modified>
</cp:coreProperties>
</file>