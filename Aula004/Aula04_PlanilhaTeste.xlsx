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6bd01ea0391fb25/Senac/Aula Excel/Material Excel 2024/EB_Aula04/Aula004/"/>
    </mc:Choice>
  </mc:AlternateContent>
  <xr:revisionPtr revIDLastSave="20" documentId="8_{2F44F3C9-319D-458E-BA29-E50965A66CAB}" xr6:coauthVersionLast="47" xr6:coauthVersionMax="47" xr10:uidLastSave="{607EA5A7-F522-4E9A-BD89-1431D0713E3E}"/>
  <bookViews>
    <workbookView xWindow="-120" yWindow="-120" windowWidth="29040" windowHeight="15720" tabRatio="725" xr2:uid="{9BFE1809-D912-4FE0-8DF5-61439DB938E4}"/>
  </bookViews>
  <sheets>
    <sheet name="Planilha1" sheetId="13" r:id="rId1"/>
  </sheets>
  <externalReferences>
    <externalReference r:id="rId2"/>
    <externalReference r:id="rId3"/>
  </externalReferences>
  <definedNames>
    <definedName name="_xlnm._FilterDatabase" localSheetId="0" hidden="1">Planilha1!$A$1:$O$154</definedName>
    <definedName name="Categoria_Comida">[1]Relatório!$B$9:$B$16</definedName>
    <definedName name="debcred">[2]Configuração!$A$2:$A$3</definedName>
    <definedName name="sljose">#REF!</definedName>
    <definedName name="tipo">[2]Configuração!$B$2:$B$6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3" l="1"/>
  <c r="O4" i="13"/>
  <c r="O5" i="13"/>
  <c r="O6" i="13"/>
  <c r="O7" i="13"/>
  <c r="O8" i="13"/>
  <c r="O9" i="13"/>
  <c r="O10" i="13"/>
  <c r="O11" i="13"/>
  <c r="O12" i="13"/>
  <c r="O13" i="13"/>
  <c r="O14" i="13"/>
  <c r="O15" i="13"/>
  <c r="O16" i="13"/>
  <c r="O17" i="13"/>
  <c r="O18" i="13"/>
  <c r="O19" i="13"/>
  <c r="O20" i="13"/>
  <c r="O21" i="13"/>
  <c r="O22" i="13"/>
  <c r="O23" i="13"/>
  <c r="O24" i="13"/>
  <c r="O25" i="13"/>
  <c r="O26" i="13"/>
  <c r="O27" i="13"/>
  <c r="O28" i="13"/>
  <c r="O29" i="13"/>
  <c r="O30" i="13"/>
  <c r="O31" i="13"/>
  <c r="O32" i="13"/>
  <c r="O33" i="13"/>
  <c r="O34" i="13"/>
  <c r="O35" i="13"/>
  <c r="O36" i="13"/>
  <c r="O37" i="13"/>
  <c r="O38" i="13"/>
  <c r="O39" i="13"/>
  <c r="O40" i="13"/>
  <c r="O41" i="13"/>
  <c r="O42" i="13"/>
  <c r="O43" i="13"/>
  <c r="O44" i="13"/>
  <c r="O45" i="13"/>
  <c r="O46" i="13"/>
  <c r="O47" i="13"/>
  <c r="O48" i="13"/>
  <c r="O49" i="13"/>
  <c r="O50" i="13"/>
  <c r="O51" i="13"/>
  <c r="O52" i="13"/>
  <c r="O53" i="13"/>
  <c r="O54" i="13"/>
  <c r="O55" i="13"/>
  <c r="O56" i="13"/>
  <c r="O57" i="13"/>
  <c r="O58" i="13"/>
  <c r="O59" i="13"/>
  <c r="O60" i="13"/>
  <c r="O61" i="13"/>
  <c r="O62" i="13"/>
  <c r="O63" i="13"/>
  <c r="O64" i="13"/>
  <c r="O65" i="13"/>
  <c r="O66" i="13"/>
  <c r="O67" i="13"/>
  <c r="O68" i="13"/>
  <c r="O69" i="13"/>
  <c r="O70" i="13"/>
  <c r="O71" i="13"/>
  <c r="O72" i="13"/>
  <c r="O73" i="13"/>
  <c r="O74" i="13"/>
  <c r="O75" i="13"/>
  <c r="O76" i="13"/>
  <c r="O77" i="13"/>
  <c r="O78" i="13"/>
  <c r="O79" i="13"/>
  <c r="O80" i="13"/>
  <c r="O81" i="13"/>
  <c r="O82" i="13"/>
  <c r="O83" i="13"/>
  <c r="O84" i="13"/>
  <c r="O85" i="13"/>
  <c r="O86" i="13"/>
  <c r="O87" i="13"/>
  <c r="O88" i="13"/>
  <c r="O89" i="13"/>
  <c r="O90" i="13"/>
  <c r="O91" i="13"/>
  <c r="O92" i="13"/>
  <c r="O93" i="13"/>
  <c r="O94" i="13"/>
  <c r="O95" i="13"/>
  <c r="O96" i="13"/>
  <c r="O97" i="13"/>
  <c r="O98" i="13"/>
  <c r="O99" i="13"/>
  <c r="O100" i="13"/>
  <c r="O101" i="13"/>
  <c r="O102" i="13"/>
  <c r="O103" i="13"/>
  <c r="O104" i="13"/>
  <c r="O105" i="13"/>
  <c r="O106" i="13"/>
  <c r="O107" i="13"/>
  <c r="O108" i="13"/>
  <c r="O109" i="13"/>
  <c r="O110" i="13"/>
  <c r="O111" i="13"/>
  <c r="O112" i="13"/>
  <c r="O113" i="13"/>
  <c r="O114" i="13"/>
  <c r="O115" i="13"/>
  <c r="O116" i="13"/>
  <c r="O117" i="13"/>
  <c r="O118" i="13"/>
  <c r="O119" i="13"/>
  <c r="O120" i="13"/>
  <c r="O121" i="13"/>
  <c r="O122" i="13"/>
  <c r="O123" i="13"/>
  <c r="O124" i="13"/>
  <c r="O125" i="13"/>
  <c r="O126" i="13"/>
  <c r="O127" i="13"/>
  <c r="O128" i="13"/>
  <c r="O129" i="13"/>
  <c r="O130" i="13"/>
  <c r="O131" i="13"/>
  <c r="O132" i="13"/>
  <c r="O133" i="13"/>
  <c r="O134" i="13"/>
  <c r="O135" i="13"/>
  <c r="O136" i="13"/>
  <c r="O137" i="13"/>
  <c r="O138" i="13"/>
  <c r="O139" i="13"/>
  <c r="O140" i="13"/>
  <c r="O141" i="13"/>
  <c r="O142" i="13"/>
  <c r="O143" i="13"/>
  <c r="O144" i="13"/>
  <c r="O145" i="13"/>
  <c r="O146" i="13"/>
  <c r="O147" i="13"/>
  <c r="O148" i="13"/>
  <c r="O149" i="13"/>
  <c r="O150" i="13"/>
  <c r="O151" i="13"/>
  <c r="O152" i="13"/>
  <c r="O153" i="13"/>
  <c r="O154" i="13"/>
  <c r="O2" i="13"/>
  <c r="N3" i="13"/>
  <c r="N4" i="13"/>
  <c r="N5" i="13"/>
  <c r="N6" i="13"/>
  <c r="N7" i="13"/>
  <c r="N8" i="13"/>
  <c r="N9" i="13"/>
  <c r="N10" i="13"/>
  <c r="N11" i="13"/>
  <c r="N12" i="13"/>
  <c r="N13" i="13"/>
  <c r="N14" i="13"/>
  <c r="N15" i="13"/>
  <c r="N16" i="13"/>
  <c r="N17" i="13"/>
  <c r="N18" i="13"/>
  <c r="N19" i="13"/>
  <c r="N20" i="13"/>
  <c r="N21" i="13"/>
  <c r="N22" i="13"/>
  <c r="N23" i="13"/>
  <c r="N24" i="13"/>
  <c r="N25" i="13"/>
  <c r="N26" i="13"/>
  <c r="N27" i="13"/>
  <c r="N28" i="13"/>
  <c r="N29" i="13"/>
  <c r="N30" i="13"/>
  <c r="N31" i="13"/>
  <c r="N32" i="13"/>
  <c r="N33" i="13"/>
  <c r="N34" i="13"/>
  <c r="N35" i="13"/>
  <c r="N36" i="13"/>
  <c r="N37" i="13"/>
  <c r="N38" i="13"/>
  <c r="N39" i="13"/>
  <c r="N40" i="13"/>
  <c r="N41" i="13"/>
  <c r="N42" i="13"/>
  <c r="N43" i="13"/>
  <c r="N44" i="13"/>
  <c r="N45" i="13"/>
  <c r="N46" i="13"/>
  <c r="N47" i="13"/>
  <c r="N48" i="13"/>
  <c r="N49" i="13"/>
  <c r="N50" i="13"/>
  <c r="N51" i="13"/>
  <c r="N52" i="13"/>
  <c r="N53" i="13"/>
  <c r="N54" i="13"/>
  <c r="N55" i="13"/>
  <c r="N56" i="13"/>
  <c r="N57" i="13"/>
  <c r="N58" i="13"/>
  <c r="N59" i="13"/>
  <c r="N60" i="13"/>
  <c r="N61" i="13"/>
  <c r="N62" i="13"/>
  <c r="N63" i="13"/>
  <c r="N64" i="13"/>
  <c r="N65" i="13"/>
  <c r="N66" i="13"/>
  <c r="N67" i="13"/>
  <c r="N68" i="13"/>
  <c r="N69" i="13"/>
  <c r="N70" i="13"/>
  <c r="N71" i="13"/>
  <c r="N72" i="13"/>
  <c r="N73" i="13"/>
  <c r="N74" i="13"/>
  <c r="N75" i="13"/>
  <c r="N76" i="13"/>
  <c r="N77" i="13"/>
  <c r="N78" i="13"/>
  <c r="N79" i="13"/>
  <c r="N80" i="13"/>
  <c r="N81" i="13"/>
  <c r="N82" i="13"/>
  <c r="N83" i="13"/>
  <c r="N84" i="13"/>
  <c r="N85" i="13"/>
  <c r="N86" i="13"/>
  <c r="N87" i="13"/>
  <c r="N88" i="13"/>
  <c r="N89" i="13"/>
  <c r="N90" i="13"/>
  <c r="N91" i="13"/>
  <c r="N92" i="13"/>
  <c r="N93" i="13"/>
  <c r="N94" i="13"/>
  <c r="N95" i="13"/>
  <c r="N96" i="13"/>
  <c r="N97" i="13"/>
  <c r="N98" i="13"/>
  <c r="N99" i="13"/>
  <c r="N100" i="13"/>
  <c r="N101" i="13"/>
  <c r="N102" i="13"/>
  <c r="N103" i="13"/>
  <c r="N104" i="13"/>
  <c r="N105" i="13"/>
  <c r="N106" i="13"/>
  <c r="N107" i="13"/>
  <c r="N108" i="13"/>
  <c r="N109" i="13"/>
  <c r="N110" i="13"/>
  <c r="N111" i="13"/>
  <c r="N112" i="13"/>
  <c r="N113" i="13"/>
  <c r="N114" i="13"/>
  <c r="N115" i="13"/>
  <c r="N116" i="13"/>
  <c r="N117" i="13"/>
  <c r="N118" i="13"/>
  <c r="N119" i="13"/>
  <c r="N120" i="13"/>
  <c r="N121" i="13"/>
  <c r="N122" i="13"/>
  <c r="N123" i="13"/>
  <c r="N124" i="13"/>
  <c r="N125" i="13"/>
  <c r="N126" i="13"/>
  <c r="N127" i="13"/>
  <c r="N128" i="13"/>
  <c r="N129" i="13"/>
  <c r="N130" i="13"/>
  <c r="N131" i="13"/>
  <c r="N132" i="13"/>
  <c r="N133" i="13"/>
  <c r="N134" i="13"/>
  <c r="N135" i="13"/>
  <c r="N136" i="13"/>
  <c r="N137" i="13"/>
  <c r="N138" i="13"/>
  <c r="N139" i="13"/>
  <c r="N140" i="13"/>
  <c r="N141" i="13"/>
  <c r="N142" i="13"/>
  <c r="N143" i="13"/>
  <c r="N144" i="13"/>
  <c r="N145" i="13"/>
  <c r="N146" i="13"/>
  <c r="N147" i="13"/>
  <c r="N148" i="13"/>
  <c r="N149" i="13"/>
  <c r="N150" i="13"/>
  <c r="N151" i="13"/>
  <c r="N152" i="13"/>
  <c r="N153" i="13"/>
  <c r="N154" i="13"/>
  <c r="N2" i="13"/>
  <c r="M3" i="13"/>
  <c r="M4" i="13"/>
  <c r="M5" i="13"/>
  <c r="M6" i="13"/>
  <c r="M7" i="13"/>
  <c r="M8" i="13"/>
  <c r="M9" i="13"/>
  <c r="M10" i="13"/>
  <c r="M11" i="13"/>
  <c r="M12" i="13"/>
  <c r="M13" i="13"/>
  <c r="M14" i="13"/>
  <c r="M15" i="13"/>
  <c r="M16" i="13"/>
  <c r="M17" i="13"/>
  <c r="M18" i="13"/>
  <c r="M19" i="13"/>
  <c r="M20" i="13"/>
  <c r="M21" i="13"/>
  <c r="M22" i="13"/>
  <c r="M23" i="13"/>
  <c r="M24" i="13"/>
  <c r="M25" i="13"/>
  <c r="M26" i="13"/>
  <c r="M27" i="13"/>
  <c r="M28" i="13"/>
  <c r="M29" i="13"/>
  <c r="M30" i="13"/>
  <c r="M31" i="13"/>
  <c r="M32" i="13"/>
  <c r="M33" i="13"/>
  <c r="M34" i="13"/>
  <c r="M35" i="13"/>
  <c r="M36" i="13"/>
  <c r="M37" i="13"/>
  <c r="M38" i="13"/>
  <c r="M39" i="13"/>
  <c r="M40" i="13"/>
  <c r="M41" i="13"/>
  <c r="M42" i="13"/>
  <c r="M43" i="13"/>
  <c r="M44" i="13"/>
  <c r="M45" i="13"/>
  <c r="M46" i="13"/>
  <c r="M47" i="13"/>
  <c r="M48" i="13"/>
  <c r="M49" i="13"/>
  <c r="M50" i="13"/>
  <c r="M51" i="13"/>
  <c r="M52" i="13"/>
  <c r="M53" i="13"/>
  <c r="M54" i="13"/>
  <c r="M55" i="13"/>
  <c r="M56" i="13"/>
  <c r="M57" i="13"/>
  <c r="M58" i="13"/>
  <c r="M59" i="13"/>
  <c r="M60" i="13"/>
  <c r="M61" i="13"/>
  <c r="M62" i="13"/>
  <c r="M63" i="13"/>
  <c r="M64" i="13"/>
  <c r="M65" i="13"/>
  <c r="M66" i="13"/>
  <c r="M67" i="13"/>
  <c r="M68" i="13"/>
  <c r="M69" i="13"/>
  <c r="M70" i="13"/>
  <c r="M71" i="13"/>
  <c r="M72" i="13"/>
  <c r="M73" i="13"/>
  <c r="M74" i="13"/>
  <c r="M75" i="13"/>
  <c r="M76" i="13"/>
  <c r="M77" i="13"/>
  <c r="M78" i="13"/>
  <c r="M79" i="13"/>
  <c r="M80" i="13"/>
  <c r="M81" i="13"/>
  <c r="M82" i="13"/>
  <c r="M83" i="13"/>
  <c r="M84" i="13"/>
  <c r="M85" i="13"/>
  <c r="M86" i="13"/>
  <c r="M87" i="13"/>
  <c r="M88" i="13"/>
  <c r="M89" i="13"/>
  <c r="M90" i="13"/>
  <c r="M91" i="13"/>
  <c r="M92" i="13"/>
  <c r="M93" i="13"/>
  <c r="M94" i="13"/>
  <c r="M95" i="13"/>
  <c r="M96" i="13"/>
  <c r="M97" i="13"/>
  <c r="M98" i="13"/>
  <c r="M99" i="13"/>
  <c r="M100" i="13"/>
  <c r="M101" i="13"/>
  <c r="M102" i="13"/>
  <c r="M103" i="13"/>
  <c r="M104" i="13"/>
  <c r="M105" i="13"/>
  <c r="M106" i="13"/>
  <c r="M107" i="13"/>
  <c r="M108" i="13"/>
  <c r="M109" i="13"/>
  <c r="M110" i="13"/>
  <c r="M111" i="13"/>
  <c r="M112" i="13"/>
  <c r="M113" i="13"/>
  <c r="M114" i="13"/>
  <c r="M115" i="13"/>
  <c r="M116" i="13"/>
  <c r="M117" i="13"/>
  <c r="M118" i="13"/>
  <c r="M119" i="13"/>
  <c r="M120" i="13"/>
  <c r="M121" i="13"/>
  <c r="M122" i="13"/>
  <c r="M123" i="13"/>
  <c r="M124" i="13"/>
  <c r="M125" i="13"/>
  <c r="M126" i="13"/>
  <c r="M127" i="13"/>
  <c r="M128" i="13"/>
  <c r="M129" i="13"/>
  <c r="M130" i="13"/>
  <c r="M131" i="13"/>
  <c r="M132" i="13"/>
  <c r="M133" i="13"/>
  <c r="M134" i="13"/>
  <c r="M135" i="13"/>
  <c r="M136" i="13"/>
  <c r="M137" i="13"/>
  <c r="M138" i="13"/>
  <c r="M139" i="13"/>
  <c r="M140" i="13"/>
  <c r="M141" i="13"/>
  <c r="M142" i="13"/>
  <c r="M143" i="13"/>
  <c r="M144" i="13"/>
  <c r="M145" i="13"/>
  <c r="M146" i="13"/>
  <c r="M147" i="13"/>
  <c r="M148" i="13"/>
  <c r="M149" i="13"/>
  <c r="M150" i="13"/>
  <c r="M151" i="13"/>
  <c r="M152" i="13"/>
  <c r="M153" i="13"/>
  <c r="M154" i="13"/>
  <c r="M2" i="13"/>
  <c r="K3" i="13"/>
  <c r="K4" i="13"/>
  <c r="K5" i="13"/>
  <c r="K6" i="13"/>
  <c r="K7" i="13"/>
  <c r="K8" i="13"/>
  <c r="K9" i="13"/>
  <c r="K10" i="13"/>
  <c r="K11" i="13"/>
  <c r="K12" i="13"/>
  <c r="K13" i="13"/>
  <c r="K14" i="13"/>
  <c r="K15" i="13"/>
  <c r="K16" i="13"/>
  <c r="K17" i="13"/>
  <c r="K18" i="13"/>
  <c r="K19" i="13"/>
  <c r="K20" i="13"/>
  <c r="K21" i="13"/>
  <c r="K22" i="13"/>
  <c r="K23" i="13"/>
  <c r="K24" i="13"/>
  <c r="K25" i="13"/>
  <c r="K26" i="13"/>
  <c r="K27" i="13"/>
  <c r="K28" i="13"/>
  <c r="K29" i="13"/>
  <c r="K30" i="13"/>
  <c r="K31" i="13"/>
  <c r="K32" i="13"/>
  <c r="K33" i="13"/>
  <c r="K34" i="13"/>
  <c r="K35" i="13"/>
  <c r="K36" i="13"/>
  <c r="K37" i="13"/>
  <c r="K38" i="13"/>
  <c r="K39" i="13"/>
  <c r="K40" i="13"/>
  <c r="K41" i="13"/>
  <c r="K42" i="13"/>
  <c r="K43" i="13"/>
  <c r="K44" i="13"/>
  <c r="K45" i="13"/>
  <c r="K46" i="13"/>
  <c r="K47" i="13"/>
  <c r="K48" i="13"/>
  <c r="K49" i="13"/>
  <c r="K50" i="13"/>
  <c r="K51" i="13"/>
  <c r="K52" i="13"/>
  <c r="K53" i="13"/>
  <c r="K54" i="13"/>
  <c r="K55" i="13"/>
  <c r="K56" i="13"/>
  <c r="K57" i="13"/>
  <c r="K58" i="13"/>
  <c r="K59" i="13"/>
  <c r="K60" i="13"/>
  <c r="K61" i="13"/>
  <c r="K62" i="13"/>
  <c r="K63" i="13"/>
  <c r="K64" i="13"/>
  <c r="K65" i="13"/>
  <c r="K66" i="13"/>
  <c r="K67" i="13"/>
  <c r="K68" i="13"/>
  <c r="K69" i="13"/>
  <c r="K70" i="13"/>
  <c r="K71" i="13"/>
  <c r="K72" i="13"/>
  <c r="K73" i="13"/>
  <c r="K74" i="13"/>
  <c r="K75" i="13"/>
  <c r="K76" i="13"/>
  <c r="K77" i="13"/>
  <c r="K78" i="13"/>
  <c r="K79" i="13"/>
  <c r="K80" i="13"/>
  <c r="K81" i="13"/>
  <c r="K82" i="13"/>
  <c r="K83" i="13"/>
  <c r="K84" i="13"/>
  <c r="K85" i="13"/>
  <c r="K86" i="13"/>
  <c r="K87" i="13"/>
  <c r="K88" i="13"/>
  <c r="K89" i="13"/>
  <c r="K90" i="13"/>
  <c r="K91" i="13"/>
  <c r="K92" i="13"/>
  <c r="K93" i="13"/>
  <c r="K94" i="13"/>
  <c r="K95" i="13"/>
  <c r="K96" i="13"/>
  <c r="K97" i="13"/>
  <c r="K98" i="13"/>
  <c r="K99" i="13"/>
  <c r="K100" i="13"/>
  <c r="K101" i="13"/>
  <c r="K102" i="13"/>
  <c r="K103" i="13"/>
  <c r="K104" i="13"/>
  <c r="K105" i="13"/>
  <c r="K106" i="13"/>
  <c r="K107" i="13"/>
  <c r="K108" i="13"/>
  <c r="K109" i="13"/>
  <c r="K110" i="13"/>
  <c r="K111" i="13"/>
  <c r="K112" i="13"/>
  <c r="K113" i="13"/>
  <c r="K114" i="13"/>
  <c r="K115" i="13"/>
  <c r="K116" i="13"/>
  <c r="K117" i="13"/>
  <c r="K118" i="13"/>
  <c r="K119" i="13"/>
  <c r="K120" i="13"/>
  <c r="K121" i="13"/>
  <c r="K122" i="13"/>
  <c r="K123" i="13"/>
  <c r="K124" i="13"/>
  <c r="K125" i="13"/>
  <c r="K126" i="13"/>
  <c r="K127" i="13"/>
  <c r="K128" i="13"/>
  <c r="K129" i="13"/>
  <c r="K130" i="13"/>
  <c r="K131" i="13"/>
  <c r="K132" i="13"/>
  <c r="K133" i="13"/>
  <c r="K134" i="13"/>
  <c r="K135" i="13"/>
  <c r="K136" i="13"/>
  <c r="K137" i="13"/>
  <c r="K138" i="13"/>
  <c r="K139" i="13"/>
  <c r="K140" i="13"/>
  <c r="K141" i="13"/>
  <c r="K142" i="13"/>
  <c r="K143" i="13"/>
  <c r="K144" i="13"/>
  <c r="K145" i="13"/>
  <c r="K146" i="13"/>
  <c r="K147" i="13"/>
  <c r="K148" i="13"/>
  <c r="K149" i="13"/>
  <c r="K150" i="13"/>
  <c r="K151" i="13"/>
  <c r="K152" i="13"/>
  <c r="K153" i="13"/>
  <c r="K154" i="13"/>
  <c r="K2" i="13"/>
  <c r="J3" i="13"/>
  <c r="J4" i="13"/>
  <c r="J5" i="13"/>
  <c r="J6" i="13"/>
  <c r="J7" i="13"/>
  <c r="J8" i="13"/>
  <c r="J9" i="13"/>
  <c r="J10" i="13"/>
  <c r="J11" i="13"/>
  <c r="J12" i="13"/>
  <c r="J13" i="13"/>
  <c r="J14" i="13"/>
  <c r="J15" i="13"/>
  <c r="J16" i="13"/>
  <c r="J17" i="13"/>
  <c r="J18" i="13"/>
  <c r="J19" i="13"/>
  <c r="J20" i="13"/>
  <c r="J21" i="13"/>
  <c r="J22" i="13"/>
  <c r="J23" i="13"/>
  <c r="J24" i="13"/>
  <c r="J25" i="13"/>
  <c r="J26" i="13"/>
  <c r="J27" i="13"/>
  <c r="J28" i="13"/>
  <c r="J29" i="13"/>
  <c r="J30" i="13"/>
  <c r="J31" i="13"/>
  <c r="J32" i="13"/>
  <c r="J33" i="13"/>
  <c r="J34" i="13"/>
  <c r="J35" i="13"/>
  <c r="J36" i="13"/>
  <c r="J37" i="13"/>
  <c r="J38" i="13"/>
  <c r="J39" i="13"/>
  <c r="J40" i="13"/>
  <c r="J41" i="13"/>
  <c r="J42" i="13"/>
  <c r="J43" i="13"/>
  <c r="J44" i="13"/>
  <c r="J45" i="13"/>
  <c r="J46" i="13"/>
  <c r="J47" i="13"/>
  <c r="J48" i="13"/>
  <c r="J49" i="13"/>
  <c r="J50" i="13"/>
  <c r="J51" i="13"/>
  <c r="J52" i="13"/>
  <c r="J53" i="13"/>
  <c r="J54" i="13"/>
  <c r="J55" i="13"/>
  <c r="J56" i="13"/>
  <c r="J57" i="13"/>
  <c r="J58" i="13"/>
  <c r="J59" i="13"/>
  <c r="J60" i="13"/>
  <c r="J61" i="13"/>
  <c r="J62" i="13"/>
  <c r="J63" i="13"/>
  <c r="J64" i="13"/>
  <c r="J65" i="13"/>
  <c r="J66" i="13"/>
  <c r="J67" i="13"/>
  <c r="J68" i="13"/>
  <c r="J69" i="13"/>
  <c r="J70" i="13"/>
  <c r="J71" i="13"/>
  <c r="J72" i="13"/>
  <c r="J73" i="13"/>
  <c r="J74" i="13"/>
  <c r="J75" i="13"/>
  <c r="J76" i="13"/>
  <c r="J77" i="13"/>
  <c r="J78" i="13"/>
  <c r="J79" i="13"/>
  <c r="J80" i="13"/>
  <c r="J81" i="13"/>
  <c r="J82" i="13"/>
  <c r="J83" i="13"/>
  <c r="J84" i="13"/>
  <c r="J85" i="13"/>
  <c r="J86" i="13"/>
  <c r="J87" i="13"/>
  <c r="J88" i="13"/>
  <c r="J89" i="13"/>
  <c r="J90" i="13"/>
  <c r="J91" i="13"/>
  <c r="J92" i="13"/>
  <c r="J93" i="13"/>
  <c r="J94" i="13"/>
  <c r="J95" i="13"/>
  <c r="J96" i="13"/>
  <c r="J97" i="13"/>
  <c r="J98" i="13"/>
  <c r="J99" i="13"/>
  <c r="J100" i="13"/>
  <c r="J101" i="13"/>
  <c r="J102" i="13"/>
  <c r="J103" i="13"/>
  <c r="J104" i="13"/>
  <c r="J105" i="13"/>
  <c r="J106" i="13"/>
  <c r="J107" i="13"/>
  <c r="J108" i="13"/>
  <c r="J109" i="13"/>
  <c r="J110" i="13"/>
  <c r="J111" i="13"/>
  <c r="J112" i="13"/>
  <c r="J113" i="13"/>
  <c r="J114" i="13"/>
  <c r="J115" i="13"/>
  <c r="J116" i="13"/>
  <c r="J117" i="13"/>
  <c r="J118" i="13"/>
  <c r="J119" i="13"/>
  <c r="J120" i="13"/>
  <c r="J121" i="13"/>
  <c r="J122" i="13"/>
  <c r="J123" i="13"/>
  <c r="J124" i="13"/>
  <c r="J125" i="13"/>
  <c r="J126" i="13"/>
  <c r="J127" i="13"/>
  <c r="J128" i="13"/>
  <c r="J129" i="13"/>
  <c r="J130" i="13"/>
  <c r="J131" i="13"/>
  <c r="J132" i="13"/>
  <c r="J133" i="13"/>
  <c r="J134" i="13"/>
  <c r="J135" i="13"/>
  <c r="J136" i="13"/>
  <c r="J137" i="13"/>
  <c r="J138" i="13"/>
  <c r="J139" i="13"/>
  <c r="J140" i="13"/>
  <c r="J141" i="13"/>
  <c r="J142" i="13"/>
  <c r="J143" i="13"/>
  <c r="J144" i="13"/>
  <c r="J145" i="13"/>
  <c r="J146" i="13"/>
  <c r="J147" i="13"/>
  <c r="J148" i="13"/>
  <c r="J149" i="13"/>
  <c r="J150" i="13"/>
  <c r="J151" i="13"/>
  <c r="J152" i="13"/>
  <c r="J153" i="13"/>
  <c r="J154" i="13"/>
  <c r="J2" i="13"/>
  <c r="I3" i="13"/>
  <c r="I4" i="13"/>
  <c r="I5" i="13"/>
  <c r="I6" i="13"/>
  <c r="I7" i="13"/>
  <c r="I8" i="13"/>
  <c r="I9" i="13"/>
  <c r="I10" i="13"/>
  <c r="I11" i="13"/>
  <c r="I12" i="13"/>
  <c r="I13" i="13"/>
  <c r="I14" i="13"/>
  <c r="I15" i="13"/>
  <c r="I16" i="13"/>
  <c r="I17" i="13"/>
  <c r="I18" i="13"/>
  <c r="I19" i="13"/>
  <c r="I20" i="13"/>
  <c r="I21" i="13"/>
  <c r="I22" i="13"/>
  <c r="I23" i="13"/>
  <c r="I24" i="13"/>
  <c r="I25" i="13"/>
  <c r="I26" i="13"/>
  <c r="I27" i="13"/>
  <c r="I28" i="13"/>
  <c r="I29" i="13"/>
  <c r="I30" i="13"/>
  <c r="I31" i="13"/>
  <c r="I32" i="13"/>
  <c r="I33" i="13"/>
  <c r="I34" i="13"/>
  <c r="I35" i="13"/>
  <c r="I36" i="13"/>
  <c r="I37" i="13"/>
  <c r="I38" i="13"/>
  <c r="I39" i="13"/>
  <c r="I40" i="13"/>
  <c r="I41" i="13"/>
  <c r="I42" i="13"/>
  <c r="I43" i="13"/>
  <c r="I44" i="13"/>
  <c r="I45" i="13"/>
  <c r="I46" i="13"/>
  <c r="I47" i="13"/>
  <c r="I48" i="13"/>
  <c r="I49" i="13"/>
  <c r="I50" i="13"/>
  <c r="I51" i="13"/>
  <c r="I52" i="13"/>
  <c r="I53" i="13"/>
  <c r="I54" i="13"/>
  <c r="I55" i="13"/>
  <c r="I56" i="13"/>
  <c r="I57" i="13"/>
  <c r="I58" i="13"/>
  <c r="I59" i="13"/>
  <c r="I60" i="13"/>
  <c r="I61" i="13"/>
  <c r="I62" i="13"/>
  <c r="I63" i="13"/>
  <c r="I64" i="13"/>
  <c r="I65" i="13"/>
  <c r="I66" i="13"/>
  <c r="I67" i="13"/>
  <c r="I68" i="13"/>
  <c r="I69" i="13"/>
  <c r="I70" i="13"/>
  <c r="I71" i="13"/>
  <c r="I72" i="13"/>
  <c r="I73" i="13"/>
  <c r="I74" i="13"/>
  <c r="I75" i="13"/>
  <c r="I76" i="13"/>
  <c r="I77" i="13"/>
  <c r="I78" i="13"/>
  <c r="I79" i="13"/>
  <c r="I80" i="13"/>
  <c r="I81" i="13"/>
  <c r="I82" i="13"/>
  <c r="I83" i="13"/>
  <c r="I84" i="13"/>
  <c r="I85" i="13"/>
  <c r="I86" i="13"/>
  <c r="I87" i="13"/>
  <c r="I88" i="13"/>
  <c r="I89" i="13"/>
  <c r="I90" i="13"/>
  <c r="I91" i="13"/>
  <c r="I92" i="13"/>
  <c r="I93" i="13"/>
  <c r="I94" i="13"/>
  <c r="I95" i="13"/>
  <c r="I96" i="13"/>
  <c r="I97" i="13"/>
  <c r="I98" i="13"/>
  <c r="I99" i="13"/>
  <c r="I100" i="13"/>
  <c r="I101" i="13"/>
  <c r="I102" i="13"/>
  <c r="I103" i="13"/>
  <c r="I104" i="13"/>
  <c r="I105" i="13"/>
  <c r="I106" i="13"/>
  <c r="I107" i="13"/>
  <c r="I108" i="13"/>
  <c r="I109" i="13"/>
  <c r="I110" i="13"/>
  <c r="I111" i="13"/>
  <c r="I112" i="13"/>
  <c r="I113" i="13"/>
  <c r="I114" i="13"/>
  <c r="I115" i="13"/>
  <c r="I116" i="13"/>
  <c r="I117" i="13"/>
  <c r="I118" i="13"/>
  <c r="I119" i="13"/>
  <c r="I120" i="13"/>
  <c r="I121" i="13"/>
  <c r="I122" i="13"/>
  <c r="I123" i="13"/>
  <c r="I124" i="13"/>
  <c r="I125" i="13"/>
  <c r="I126" i="13"/>
  <c r="I127" i="13"/>
  <c r="I128" i="13"/>
  <c r="I129" i="13"/>
  <c r="I130" i="13"/>
  <c r="I131" i="13"/>
  <c r="I132" i="13"/>
  <c r="I133" i="13"/>
  <c r="I134" i="13"/>
  <c r="I135" i="13"/>
  <c r="I136" i="13"/>
  <c r="I137" i="13"/>
  <c r="I138" i="13"/>
  <c r="I139" i="13"/>
  <c r="I140" i="13"/>
  <c r="I141" i="13"/>
  <c r="I142" i="13"/>
  <c r="I143" i="13"/>
  <c r="I144" i="13"/>
  <c r="I145" i="13"/>
  <c r="I146" i="13"/>
  <c r="I147" i="13"/>
  <c r="I148" i="13"/>
  <c r="I149" i="13"/>
  <c r="I150" i="13"/>
  <c r="I151" i="13"/>
  <c r="I152" i="13"/>
  <c r="I153" i="13"/>
  <c r="I154" i="13"/>
  <c r="I2" i="13"/>
  <c r="H3" i="13"/>
  <c r="H4" i="13"/>
  <c r="H5" i="13"/>
  <c r="H6" i="13"/>
  <c r="H7" i="13"/>
  <c r="H8" i="13"/>
  <c r="H9" i="13"/>
  <c r="H10" i="13"/>
  <c r="H11" i="13"/>
  <c r="H12" i="13"/>
  <c r="H13" i="13"/>
  <c r="H14" i="13"/>
  <c r="H15" i="13"/>
  <c r="H16" i="13"/>
  <c r="H17" i="13"/>
  <c r="H18" i="13"/>
  <c r="H19" i="13"/>
  <c r="H20" i="13"/>
  <c r="H21" i="13"/>
  <c r="H22" i="13"/>
  <c r="H23" i="13"/>
  <c r="H24" i="13"/>
  <c r="H25" i="13"/>
  <c r="H26" i="13"/>
  <c r="H27" i="13"/>
  <c r="H28" i="13"/>
  <c r="H29" i="13"/>
  <c r="H30" i="13"/>
  <c r="H31" i="13"/>
  <c r="H32" i="13"/>
  <c r="H33" i="13"/>
  <c r="H34" i="13"/>
  <c r="H35" i="13"/>
  <c r="H36" i="13"/>
  <c r="H37" i="13"/>
  <c r="H38" i="13"/>
  <c r="H39" i="13"/>
  <c r="H40" i="13"/>
  <c r="H41" i="13"/>
  <c r="H42" i="13"/>
  <c r="H43" i="13"/>
  <c r="H44" i="13"/>
  <c r="H45" i="13"/>
  <c r="H46" i="13"/>
  <c r="H47" i="13"/>
  <c r="H48" i="13"/>
  <c r="H49" i="13"/>
  <c r="H50" i="13"/>
  <c r="H51" i="13"/>
  <c r="H52" i="13"/>
  <c r="H53" i="13"/>
  <c r="H54" i="13"/>
  <c r="H55" i="13"/>
  <c r="H56" i="13"/>
  <c r="H57" i="13"/>
  <c r="H58" i="13"/>
  <c r="H59" i="13"/>
  <c r="H60" i="13"/>
  <c r="H61" i="13"/>
  <c r="H62" i="13"/>
  <c r="H63" i="13"/>
  <c r="H64" i="13"/>
  <c r="H65" i="13"/>
  <c r="H66" i="13"/>
  <c r="H67" i="13"/>
  <c r="H68" i="13"/>
  <c r="H69" i="13"/>
  <c r="H70" i="13"/>
  <c r="H71" i="13"/>
  <c r="H72" i="13"/>
  <c r="H73" i="13"/>
  <c r="H74" i="13"/>
  <c r="H75" i="13"/>
  <c r="H76" i="13"/>
  <c r="H77" i="13"/>
  <c r="H78" i="13"/>
  <c r="H79" i="13"/>
  <c r="H80" i="13"/>
  <c r="H81" i="13"/>
  <c r="H82" i="13"/>
  <c r="H83" i="13"/>
  <c r="H84" i="13"/>
  <c r="H85" i="13"/>
  <c r="H86" i="13"/>
  <c r="H87" i="13"/>
  <c r="H88" i="13"/>
  <c r="H89" i="13"/>
  <c r="H90" i="13"/>
  <c r="H91" i="13"/>
  <c r="H92" i="13"/>
  <c r="H93" i="13"/>
  <c r="H94" i="13"/>
  <c r="H95" i="13"/>
  <c r="H96" i="13"/>
  <c r="H97" i="13"/>
  <c r="H98" i="13"/>
  <c r="H99" i="13"/>
  <c r="H100" i="13"/>
  <c r="H101" i="13"/>
  <c r="H102" i="13"/>
  <c r="H103" i="13"/>
  <c r="H104" i="13"/>
  <c r="H105" i="13"/>
  <c r="H106" i="13"/>
  <c r="H107" i="13"/>
  <c r="H108" i="13"/>
  <c r="H109" i="13"/>
  <c r="H110" i="13"/>
  <c r="H111" i="13"/>
  <c r="H112" i="13"/>
  <c r="H113" i="13"/>
  <c r="H114" i="13"/>
  <c r="H115" i="13"/>
  <c r="H116" i="13"/>
  <c r="H117" i="13"/>
  <c r="H118" i="13"/>
  <c r="H119" i="13"/>
  <c r="H120" i="13"/>
  <c r="H121" i="13"/>
  <c r="H122" i="13"/>
  <c r="H123" i="13"/>
  <c r="H124" i="13"/>
  <c r="H125" i="13"/>
  <c r="H126" i="13"/>
  <c r="H127" i="13"/>
  <c r="H128" i="13"/>
  <c r="H129" i="13"/>
  <c r="H130" i="13"/>
  <c r="H131" i="13"/>
  <c r="H132" i="13"/>
  <c r="H133" i="13"/>
  <c r="H134" i="13"/>
  <c r="H135" i="13"/>
  <c r="H136" i="13"/>
  <c r="H137" i="13"/>
  <c r="H138" i="13"/>
  <c r="H139" i="13"/>
  <c r="H140" i="13"/>
  <c r="H141" i="13"/>
  <c r="H142" i="13"/>
  <c r="H143" i="13"/>
  <c r="H144" i="13"/>
  <c r="H145" i="13"/>
  <c r="H146" i="13"/>
  <c r="H147" i="13"/>
  <c r="H148" i="13"/>
  <c r="H149" i="13"/>
  <c r="H150" i="13"/>
  <c r="H151" i="13"/>
  <c r="H152" i="13"/>
  <c r="H153" i="13"/>
  <c r="H154" i="13"/>
  <c r="H2" i="13"/>
</calcChain>
</file>

<file path=xl/sharedStrings.xml><?xml version="1.0" encoding="utf-8"?>
<sst xmlns="http://schemas.openxmlformats.org/spreadsheetml/2006/main" count="780" uniqueCount="92">
  <si>
    <t>Regiao</t>
  </si>
  <si>
    <t>Cidade</t>
  </si>
  <si>
    <t>Loja</t>
  </si>
  <si>
    <t>Sul</t>
  </si>
  <si>
    <t>Florianópolis</t>
  </si>
  <si>
    <t>FL0417</t>
  </si>
  <si>
    <t>CABO LEADERSHIP A / B 1,8 mts</t>
  </si>
  <si>
    <t>Norte</t>
  </si>
  <si>
    <t>Manaus</t>
  </si>
  <si>
    <t>MA7896</t>
  </si>
  <si>
    <t>Sudeste</t>
  </si>
  <si>
    <t>São Paulo</t>
  </si>
  <si>
    <t>SP0635</t>
  </si>
  <si>
    <t>FOGÃO BRASTEMP DE VILLE BFW76H</t>
  </si>
  <si>
    <t>Nordeste</t>
  </si>
  <si>
    <t>Fortaleza</t>
  </si>
  <si>
    <t>FT0965</t>
  </si>
  <si>
    <t>FOGÃO CONSUL BOSSA NOVA CFJ50F</t>
  </si>
  <si>
    <t>Belém</t>
  </si>
  <si>
    <t>BL8910</t>
  </si>
  <si>
    <t>FREEZER VERTICAL CONSUL CVT10B</t>
  </si>
  <si>
    <t>FREEZER VERTICAL ELECTROLUX FE 18</t>
  </si>
  <si>
    <t>Centro-Oeste</t>
  </si>
  <si>
    <t>Cuiabá</t>
  </si>
  <si>
    <t>CB0546</t>
  </si>
  <si>
    <t>Curitiba</t>
  </si>
  <si>
    <t>CT3974</t>
  </si>
  <si>
    <t>TV LCD SAMSUNG 40" LN40R51B</t>
  </si>
  <si>
    <t>Belo Horizonte</t>
  </si>
  <si>
    <t>BH7410</t>
  </si>
  <si>
    <t>TV LCD SONY BRAVIA 32" KLV-S32A10T</t>
  </si>
  <si>
    <t>TV PLASMA LG 42" 42PX4RV-MC</t>
  </si>
  <si>
    <t>CÂMERA DE VÍDEO SONY DCR-HC26 MINIDV</t>
  </si>
  <si>
    <t>Palmas</t>
  </si>
  <si>
    <t>PA9747</t>
  </si>
  <si>
    <t>CÂMERA DIGITAL HP PHOTOSMART M525 6.0 MP</t>
  </si>
  <si>
    <t>CELULAR TIM NOKIA 6101 COM CÂMERA PRÉ-PAGO</t>
  </si>
  <si>
    <t>CELULAR VIVO MOTOROLA V260 PÓS-PAGO</t>
  </si>
  <si>
    <t>CELULAR VIVO NOKIA 2255 PRÉ-PAGO</t>
  </si>
  <si>
    <t>Rio de Janeiro</t>
  </si>
  <si>
    <t>RJ4351</t>
  </si>
  <si>
    <t>Goiânia</t>
  </si>
  <si>
    <t>GO4378</t>
  </si>
  <si>
    <t>FOGÃO BRASTEMP MAISON BFI76B</t>
  </si>
  <si>
    <t>Porto Alegre</t>
  </si>
  <si>
    <t>POA743</t>
  </si>
  <si>
    <t>IMPRESSORA SAMSUNG LASER ML-1610</t>
  </si>
  <si>
    <t>LAVADORA ROUPAS BRASTEMP LM TOTAL BWL07A 7 KG</t>
  </si>
  <si>
    <t>LENOXX AR-572</t>
  </si>
  <si>
    <t>PANASONIC CQ-C1301LM</t>
  </si>
  <si>
    <t>TECLADO BENQ PS2 P010</t>
  </si>
  <si>
    <t>TELEFONE S/ FIO PANASONIC KX-TG2835LBB</t>
  </si>
  <si>
    <t>TELEFONE S/ FIO SIEMENS A5000</t>
  </si>
  <si>
    <t>João Pessoa</t>
  </si>
  <si>
    <t>JP3410</t>
  </si>
  <si>
    <t>Salvador</t>
  </si>
  <si>
    <t>SA3625</t>
  </si>
  <si>
    <t>IMPRESSORA HP LASERJET COLORIDA 2600N</t>
  </si>
  <si>
    <t>SONY XPLOD CDX-GT207X</t>
  </si>
  <si>
    <t>TV LCD SAMSUNG 26" LN26R51B</t>
  </si>
  <si>
    <t>CÂMERA DE VÍDEO SONY DCR-DVD105 DVD</t>
  </si>
  <si>
    <t>CARTUCHO TINTA HP PRETO C8727A</t>
  </si>
  <si>
    <t>Vitória</t>
  </si>
  <si>
    <t>VIC367</t>
  </si>
  <si>
    <t>JVC KDG-279UR</t>
  </si>
  <si>
    <t>REFRIGERADOR BOSCH KSV47 GLASS LINE</t>
  </si>
  <si>
    <t>CELULAR VIVO MOTOROLA V265 PÓS-PAGO</t>
  </si>
  <si>
    <t>CÂMERA DIGITAL SONY CYBER-SHOT® DSC-S600 6.0 MP</t>
  </si>
  <si>
    <t>Valor da Venda</t>
  </si>
  <si>
    <t>Data da Venda</t>
  </si>
  <si>
    <t>Nome do Produto</t>
  </si>
  <si>
    <t>Preço Unitário</t>
  </si>
  <si>
    <t>Quantidade Vendida</t>
  </si>
  <si>
    <t>Preço Final</t>
  </si>
  <si>
    <t>Valor ISS
 (5%)</t>
  </si>
  <si>
    <t>Valor ICMS 
(12,5%)</t>
  </si>
  <si>
    <t>Valor IPI
 (11%)</t>
  </si>
  <si>
    <t>Valor do Desconto 
(15%)</t>
  </si>
  <si>
    <t>Valor a Pagar</t>
  </si>
  <si>
    <t>Mês Referência</t>
  </si>
  <si>
    <t>Junho</t>
  </si>
  <si>
    <t>Janeiro</t>
  </si>
  <si>
    <t>Agosto</t>
  </si>
  <si>
    <t>Outubro</t>
  </si>
  <si>
    <t>Abril</t>
  </si>
  <si>
    <t>Maio</t>
  </si>
  <si>
    <t>Novembro</t>
  </si>
  <si>
    <t>Julho</t>
  </si>
  <si>
    <t>Dezembro</t>
  </si>
  <si>
    <t>Setembro</t>
  </si>
  <si>
    <t>Março</t>
  </si>
  <si>
    <t>Fevereiro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</si>
</sst>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mbria"/>
      <family val="2"/>
    </font>
    <font>
      <sz val="11"/>
      <color theme="0"/>
      <name val="Calibri"/>
      <family val="2"/>
      <scheme val="minor"/>
    </font>
    <font>
      <sz val="11"/>
      <color theme="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rgb="FF339966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4" fillId="2" borderId="0" applyNumberFormat="0" applyBorder="0" applyProtection="0"/>
    <xf numFmtId="0" fontId="5" fillId="0" borderId="0"/>
    <xf numFmtId="0" fontId="1" fillId="0" borderId="0"/>
    <xf numFmtId="0" fontId="3" fillId="0" borderId="0"/>
  </cellStyleXfs>
  <cellXfs count="19">
    <xf numFmtId="0" fontId="0" fillId="0" borderId="0" xfId="0"/>
    <xf numFmtId="0" fontId="2" fillId="3" borderId="1" xfId="6" applyFont="1" applyFill="1" applyBorder="1" applyAlignment="1">
      <alignment horizontal="center" vertical="center"/>
    </xf>
    <xf numFmtId="44" fontId="2" fillId="3" borderId="1" xfId="6" applyNumberFormat="1" applyFont="1" applyFill="1" applyBorder="1" applyAlignment="1">
      <alignment horizontal="center" vertical="center"/>
    </xf>
    <xf numFmtId="0" fontId="2" fillId="0" borderId="0" xfId="6" applyFont="1" applyAlignment="1">
      <alignment horizontal="center"/>
    </xf>
    <xf numFmtId="14" fontId="1" fillId="0" borderId="1" xfId="6" applyNumberFormat="1" applyBorder="1" applyAlignment="1">
      <alignment horizontal="center" vertical="center"/>
    </xf>
    <xf numFmtId="0" fontId="1" fillId="0" borderId="1" xfId="6" applyBorder="1" applyAlignment="1">
      <alignment horizontal="left"/>
    </xf>
    <xf numFmtId="0" fontId="1" fillId="0" borderId="1" xfId="6" applyBorder="1" applyAlignment="1">
      <alignment horizontal="left" vertical="center"/>
    </xf>
    <xf numFmtId="0" fontId="1" fillId="0" borderId="1" xfId="6" applyBorder="1" applyAlignment="1">
      <alignment horizontal="center" vertical="center"/>
    </xf>
    <xf numFmtId="44" fontId="1" fillId="0" borderId="1" xfId="6" applyNumberFormat="1" applyBorder="1"/>
    <xf numFmtId="44" fontId="1" fillId="0" borderId="1" xfId="6" applyNumberFormat="1" applyBorder="1" applyAlignment="1">
      <alignment horizontal="center"/>
    </xf>
    <xf numFmtId="1" fontId="1" fillId="0" borderId="1" xfId="6" applyNumberFormat="1" applyBorder="1" applyAlignment="1">
      <alignment horizontal="center"/>
    </xf>
    <xf numFmtId="0" fontId="1" fillId="0" borderId="0" xfId="6"/>
    <xf numFmtId="0" fontId="1" fillId="0" borderId="0" xfId="6" applyAlignment="1">
      <alignment horizontal="center" vertical="center"/>
    </xf>
    <xf numFmtId="0" fontId="1" fillId="0" borderId="0" xfId="6" applyAlignment="1">
      <alignment horizontal="left"/>
    </xf>
    <xf numFmtId="0" fontId="1" fillId="0" borderId="0" xfId="6" applyAlignment="1">
      <alignment horizontal="left" vertical="center"/>
    </xf>
    <xf numFmtId="44" fontId="1" fillId="0" borderId="0" xfId="6" applyNumberFormat="1"/>
    <xf numFmtId="0" fontId="1" fillId="0" borderId="0" xfId="6" applyAlignment="1">
      <alignment horizontal="center"/>
    </xf>
    <xf numFmtId="1" fontId="1" fillId="0" borderId="0" xfId="6" applyNumberFormat="1" applyAlignment="1">
      <alignment horizontal="center"/>
    </xf>
    <xf numFmtId="1" fontId="2" fillId="3" borderId="1" xfId="6" applyNumberFormat="1" applyFont="1" applyFill="1" applyBorder="1" applyAlignment="1">
      <alignment horizontal="center" vertical="center"/>
    </xf>
  </cellXfs>
  <cellStyles count="8">
    <cellStyle name="Cabeçalho 3 2" xfId="4" xr:uid="{4CF1AC27-3B84-4AC8-B330-741748D37C58}"/>
    <cellStyle name="Moeda 2" xfId="3" xr:uid="{8D5B25E7-4132-4BC3-AC66-DFD01889CFD3}"/>
    <cellStyle name="Normal" xfId="0" builtinId="0"/>
    <cellStyle name="Normal 2" xfId="1" xr:uid="{E8052155-AAE8-4CEE-90A1-8A1AA6FF07C8}"/>
    <cellStyle name="Normal 2 3" xfId="7" xr:uid="{10964EA7-06FD-49AC-95C3-6B8F6BC978DD}"/>
    <cellStyle name="Normal 3" xfId="2" xr:uid="{FD2F63BB-5E24-4F5C-9A5E-E0D85609D8AA}"/>
    <cellStyle name="Normal 4" xfId="5" xr:uid="{FE5088E9-894C-4A08-B87C-EAE332367120}"/>
    <cellStyle name="Normal 5" xfId="6" xr:uid="{08BB287E-2B26-44CA-9C9D-5252C3944AEE}"/>
  </cellStyles>
  <dxfs count="0"/>
  <tableStyles count="1" defaultTableStyle="TableStyleMedium2" defaultPivotStyle="PivotStyleLight16">
    <tableStyle name="Invisible" pivot="0" table="0" count="0" xr9:uid="{E5CF253F-B961-4796-A81A-B5681B04DF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Or&#231;amento%20de%20comida1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Dell%20Optiplex%20755MT\Documents\Senac-Rio\Did&#225;tico\Aulas%20Excel%20Avan&#231;ado\Planilhas\ContaCorren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as Despesas"/>
      <sheetName val="Relatório"/>
    </sheetNames>
    <sheetDataSet>
      <sheetData sheetId="0"/>
      <sheetData sheetId="1">
        <row r="9">
          <cell r="B9" t="str">
            <v>Bebidas alcoólicas</v>
          </cell>
        </row>
        <row r="10">
          <cell r="B10" t="str">
            <v>Pão</v>
          </cell>
        </row>
        <row r="11">
          <cell r="B11" t="str">
            <v>Bebidas</v>
          </cell>
        </row>
        <row r="12">
          <cell r="B12" t="str">
            <v>Frutas e legumes</v>
          </cell>
        </row>
        <row r="13">
          <cell r="B13" t="str">
            <v>Carne</v>
          </cell>
        </row>
        <row r="14">
          <cell r="B14" t="str">
            <v>Refeições prontas</v>
          </cell>
        </row>
        <row r="15">
          <cell r="B15" t="str">
            <v>Doces</v>
          </cell>
        </row>
        <row r="16">
          <cell r="B16" t="str">
            <v>Outros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"/>
      <sheetName val="Fev"/>
      <sheetName val="Mar"/>
      <sheetName val="Abr"/>
      <sheetName val="Mai"/>
      <sheetName val="Jun"/>
      <sheetName val="Jul"/>
      <sheetName val="Ago"/>
      <sheetName val="Set"/>
      <sheetName val="Out"/>
      <sheetName val="Nov"/>
      <sheetName val="Dez"/>
      <sheetName val="Configuração"/>
      <sheetName val="Plan1"/>
    </sheetNames>
    <sheetDataSet>
      <sheetData sheetId="0">
        <row r="10">
          <cell r="D10">
            <v>1900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">
          <cell r="A2" t="str">
            <v>D</v>
          </cell>
          <cell r="B2" t="str">
            <v>Depósito</v>
          </cell>
        </row>
        <row r="3">
          <cell r="A3" t="str">
            <v>C</v>
          </cell>
          <cell r="B3" t="str">
            <v>Transferência</v>
          </cell>
        </row>
        <row r="4">
          <cell r="B4" t="str">
            <v>Cheque</v>
          </cell>
        </row>
        <row r="5">
          <cell r="B5" t="str">
            <v>Outras</v>
          </cell>
        </row>
        <row r="6">
          <cell r="B6" t="str">
            <v>Pagamentos</v>
          </cell>
        </row>
      </sheetData>
      <sheetData sheetId="13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23166-A86D-4FE8-AA10-C67F1B704D92}">
  <dimension ref="A1:O154"/>
  <sheetViews>
    <sheetView showGridLines="0" tabSelected="1" topLeftCell="E1" workbookViewId="0">
      <selection activeCell="R6" sqref="R6"/>
    </sheetView>
  </sheetViews>
  <sheetFormatPr defaultRowHeight="15" x14ac:dyDescent="0.25"/>
  <cols>
    <col min="1" max="1" width="13.85546875" style="12" bestFit="1" customWidth="1"/>
    <col min="2" max="2" width="15" style="12" bestFit="1" customWidth="1"/>
    <col min="3" max="3" width="13.140625" style="13" bestFit="1" customWidth="1"/>
    <col min="4" max="4" width="14.28515625" style="14" bestFit="1" customWidth="1"/>
    <col min="5" max="5" width="8" style="12" bestFit="1" customWidth="1"/>
    <col min="6" max="6" width="50.7109375" style="13" bestFit="1" customWidth="1"/>
    <col min="7" max="7" width="15.28515625" style="15" bestFit="1" customWidth="1"/>
    <col min="8" max="8" width="14.42578125" style="16" bestFit="1" customWidth="1"/>
    <col min="9" max="9" width="19.140625" style="16" bestFit="1" customWidth="1"/>
    <col min="10" max="10" width="15.140625" style="16" bestFit="1" customWidth="1"/>
    <col min="11" max="11" width="13.28515625" style="11" bestFit="1" customWidth="1"/>
    <col min="12" max="12" width="19.5703125" style="17" bestFit="1" customWidth="1"/>
    <col min="13" max="13" width="14.5703125" style="11" bestFit="1" customWidth="1"/>
    <col min="14" max="14" width="24.140625" style="11" bestFit="1" customWidth="1"/>
    <col min="15" max="15" width="13.28515625" style="11" bestFit="1" customWidth="1"/>
    <col min="16" max="16384" width="9.140625" style="11"/>
  </cols>
  <sheetData>
    <row r="1" spans="1:15" s="3" customFormat="1" x14ac:dyDescent="0.25">
      <c r="A1" s="1" t="s">
        <v>69</v>
      </c>
      <c r="B1" s="1" t="s">
        <v>79</v>
      </c>
      <c r="C1" s="1" t="s">
        <v>0</v>
      </c>
      <c r="D1" s="1" t="s">
        <v>1</v>
      </c>
      <c r="E1" s="1" t="s">
        <v>2</v>
      </c>
      <c r="F1" s="1" t="s">
        <v>70</v>
      </c>
      <c r="G1" s="2" t="s">
        <v>71</v>
      </c>
      <c r="H1" s="1" t="s">
        <v>74</v>
      </c>
      <c r="I1" s="1" t="s">
        <v>75</v>
      </c>
      <c r="J1" s="1" t="s">
        <v>76</v>
      </c>
      <c r="K1" s="1" t="s">
        <v>73</v>
      </c>
      <c r="L1" s="18" t="s">
        <v>72</v>
      </c>
      <c r="M1" s="1" t="s">
        <v>68</v>
      </c>
      <c r="N1" s="1" t="s">
        <v>77</v>
      </c>
      <c r="O1" s="1" t="s">
        <v>78</v>
      </c>
    </row>
    <row r="2" spans="1:15" x14ac:dyDescent="0.25">
      <c r="A2" s="4">
        <v>45455</v>
      </c>
      <c r="B2" s="4" t="s">
        <v>80</v>
      </c>
      <c r="C2" s="5" t="s">
        <v>3</v>
      </c>
      <c r="D2" s="6" t="s">
        <v>4</v>
      </c>
      <c r="E2" s="7" t="s">
        <v>5</v>
      </c>
      <c r="F2" s="5" t="s">
        <v>6</v>
      </c>
      <c r="G2" s="8">
        <v>4.9000000000000004</v>
      </c>
      <c r="H2" s="9">
        <f>G2*5%</f>
        <v>0.24500000000000002</v>
      </c>
      <c r="I2" s="9">
        <f>G2*12.5%</f>
        <v>0.61250000000000004</v>
      </c>
      <c r="J2" s="9">
        <f>G2*11%</f>
        <v>0.53900000000000003</v>
      </c>
      <c r="K2" s="8">
        <f>SUM(G2:J2)</f>
        <v>6.2965</v>
      </c>
      <c r="L2" s="10">
        <v>7</v>
      </c>
      <c r="M2" s="8">
        <f>K2*L2</f>
        <v>44.075499999999998</v>
      </c>
      <c r="N2" s="8">
        <f>M2*15%</f>
        <v>6.6113249999999999</v>
      </c>
      <c r="O2" s="8">
        <f>M2-N2</f>
        <v>37.464174999999997</v>
      </c>
    </row>
    <row r="3" spans="1:15" x14ac:dyDescent="0.25">
      <c r="A3" s="4">
        <v>45307</v>
      </c>
      <c r="B3" s="4" t="s">
        <v>81</v>
      </c>
      <c r="C3" s="5" t="s">
        <v>7</v>
      </c>
      <c r="D3" s="6" t="s">
        <v>8</v>
      </c>
      <c r="E3" s="7" t="s">
        <v>9</v>
      </c>
      <c r="F3" s="5" t="s">
        <v>6</v>
      </c>
      <c r="G3" s="8">
        <v>4.25</v>
      </c>
      <c r="H3" s="9">
        <f t="shared" ref="H3:H66" si="0">G3*5%</f>
        <v>0.21250000000000002</v>
      </c>
      <c r="I3" s="9">
        <f t="shared" ref="I3:I66" si="1">G3*12.5%</f>
        <v>0.53125</v>
      </c>
      <c r="J3" s="9">
        <f t="shared" ref="J3:J66" si="2">G3*11%</f>
        <v>0.46750000000000003</v>
      </c>
      <c r="K3" s="8">
        <f t="shared" ref="K3:K66" si="3">SUM(G3:J3)</f>
        <v>5.4612500000000006</v>
      </c>
      <c r="L3" s="10">
        <v>1</v>
      </c>
      <c r="M3" s="8">
        <f t="shared" ref="M3:M66" si="4">K3*L3</f>
        <v>5.4612500000000006</v>
      </c>
      <c r="N3" s="8">
        <f t="shared" ref="N3:N66" si="5">M3*15%</f>
        <v>0.81918750000000007</v>
      </c>
      <c r="O3" s="8">
        <f t="shared" ref="O3:O66" si="6">M3-N3</f>
        <v>4.6420625000000006</v>
      </c>
    </row>
    <row r="4" spans="1:15" x14ac:dyDescent="0.25">
      <c r="A4" s="4">
        <v>45519</v>
      </c>
      <c r="B4" s="4" t="s">
        <v>82</v>
      </c>
      <c r="C4" s="5" t="s">
        <v>10</v>
      </c>
      <c r="D4" s="6" t="s">
        <v>11</v>
      </c>
      <c r="E4" s="7" t="s">
        <v>12</v>
      </c>
      <c r="F4" s="5" t="s">
        <v>13</v>
      </c>
      <c r="G4" s="8">
        <v>1149</v>
      </c>
      <c r="H4" s="9">
        <f t="shared" si="0"/>
        <v>57.45</v>
      </c>
      <c r="I4" s="9">
        <f t="shared" si="1"/>
        <v>143.625</v>
      </c>
      <c r="J4" s="9">
        <f t="shared" si="2"/>
        <v>126.39</v>
      </c>
      <c r="K4" s="8">
        <f t="shared" si="3"/>
        <v>1476.4650000000001</v>
      </c>
      <c r="L4" s="10">
        <v>2</v>
      </c>
      <c r="M4" s="8">
        <f t="shared" si="4"/>
        <v>2952.9300000000003</v>
      </c>
      <c r="N4" s="8">
        <f t="shared" si="5"/>
        <v>442.93950000000001</v>
      </c>
      <c r="O4" s="8">
        <f t="shared" si="6"/>
        <v>2509.9905000000003</v>
      </c>
    </row>
    <row r="5" spans="1:15" x14ac:dyDescent="0.25">
      <c r="A5" s="4">
        <v>45567</v>
      </c>
      <c r="B5" s="4" t="s">
        <v>83</v>
      </c>
      <c r="C5" s="5" t="s">
        <v>14</v>
      </c>
      <c r="D5" s="6" t="s">
        <v>15</v>
      </c>
      <c r="E5" s="7" t="s">
        <v>16</v>
      </c>
      <c r="F5" s="5" t="s">
        <v>17</v>
      </c>
      <c r="G5" s="8">
        <v>519</v>
      </c>
      <c r="H5" s="9">
        <f t="shared" si="0"/>
        <v>25.950000000000003</v>
      </c>
      <c r="I5" s="9">
        <f t="shared" si="1"/>
        <v>64.875</v>
      </c>
      <c r="J5" s="9">
        <f t="shared" si="2"/>
        <v>57.09</v>
      </c>
      <c r="K5" s="8">
        <f t="shared" si="3"/>
        <v>666.91500000000008</v>
      </c>
      <c r="L5" s="10">
        <v>5</v>
      </c>
      <c r="M5" s="8">
        <f t="shared" si="4"/>
        <v>3334.5750000000003</v>
      </c>
      <c r="N5" s="8">
        <f t="shared" si="5"/>
        <v>500.18625000000003</v>
      </c>
      <c r="O5" s="8">
        <f t="shared" si="6"/>
        <v>2834.3887500000001</v>
      </c>
    </row>
    <row r="6" spans="1:15" x14ac:dyDescent="0.25">
      <c r="A6" s="4">
        <v>45391</v>
      </c>
      <c r="B6" s="4" t="s">
        <v>84</v>
      </c>
      <c r="C6" s="5" t="s">
        <v>7</v>
      </c>
      <c r="D6" s="6" t="s">
        <v>18</v>
      </c>
      <c r="E6" s="7" t="s">
        <v>19</v>
      </c>
      <c r="F6" s="5" t="s">
        <v>20</v>
      </c>
      <c r="G6" s="8">
        <v>899</v>
      </c>
      <c r="H6" s="9">
        <f t="shared" si="0"/>
        <v>44.95</v>
      </c>
      <c r="I6" s="9">
        <f t="shared" si="1"/>
        <v>112.375</v>
      </c>
      <c r="J6" s="9">
        <f t="shared" si="2"/>
        <v>98.89</v>
      </c>
      <c r="K6" s="8">
        <f t="shared" si="3"/>
        <v>1155.2150000000001</v>
      </c>
      <c r="L6" s="10">
        <v>5</v>
      </c>
      <c r="M6" s="8">
        <f t="shared" si="4"/>
        <v>5776.0750000000007</v>
      </c>
      <c r="N6" s="8">
        <f t="shared" si="5"/>
        <v>866.41125000000011</v>
      </c>
      <c r="O6" s="8">
        <f t="shared" si="6"/>
        <v>4909.6637500000006</v>
      </c>
    </row>
    <row r="7" spans="1:15" x14ac:dyDescent="0.25">
      <c r="A7" s="4">
        <v>45292</v>
      </c>
      <c r="B7" s="4" t="s">
        <v>81</v>
      </c>
      <c r="C7" s="5" t="s">
        <v>7</v>
      </c>
      <c r="D7" s="6" t="s">
        <v>8</v>
      </c>
      <c r="E7" s="7" t="s">
        <v>9</v>
      </c>
      <c r="F7" s="5" t="s">
        <v>20</v>
      </c>
      <c r="G7" s="8">
        <v>1900</v>
      </c>
      <c r="H7" s="9">
        <f t="shared" si="0"/>
        <v>95</v>
      </c>
      <c r="I7" s="9">
        <f t="shared" si="1"/>
        <v>237.5</v>
      </c>
      <c r="J7" s="9">
        <f t="shared" si="2"/>
        <v>209</v>
      </c>
      <c r="K7" s="8">
        <f t="shared" si="3"/>
        <v>2441.5</v>
      </c>
      <c r="L7" s="10">
        <v>1</v>
      </c>
      <c r="M7" s="8">
        <f t="shared" si="4"/>
        <v>2441.5</v>
      </c>
      <c r="N7" s="8">
        <f t="shared" si="5"/>
        <v>366.22499999999997</v>
      </c>
      <c r="O7" s="8">
        <f t="shared" si="6"/>
        <v>2075.2750000000001</v>
      </c>
    </row>
    <row r="8" spans="1:15" x14ac:dyDescent="0.25">
      <c r="A8" s="4">
        <v>45298</v>
      </c>
      <c r="B8" s="4" t="s">
        <v>81</v>
      </c>
      <c r="C8" s="5" t="s">
        <v>14</v>
      </c>
      <c r="D8" s="6" t="s">
        <v>15</v>
      </c>
      <c r="E8" s="7" t="s">
        <v>16</v>
      </c>
      <c r="F8" s="5" t="s">
        <v>21</v>
      </c>
      <c r="G8" s="8">
        <v>2000</v>
      </c>
      <c r="H8" s="9">
        <f t="shared" si="0"/>
        <v>100</v>
      </c>
      <c r="I8" s="9">
        <f t="shared" si="1"/>
        <v>250</v>
      </c>
      <c r="J8" s="9">
        <f t="shared" si="2"/>
        <v>220</v>
      </c>
      <c r="K8" s="8">
        <f t="shared" si="3"/>
        <v>2570</v>
      </c>
      <c r="L8" s="10">
        <v>2</v>
      </c>
      <c r="M8" s="8">
        <f t="shared" si="4"/>
        <v>5140</v>
      </c>
      <c r="N8" s="8">
        <f t="shared" si="5"/>
        <v>771</v>
      </c>
      <c r="O8" s="8">
        <f t="shared" si="6"/>
        <v>4369</v>
      </c>
    </row>
    <row r="9" spans="1:15" x14ac:dyDescent="0.25">
      <c r="A9" s="4">
        <v>45426</v>
      </c>
      <c r="B9" s="4" t="s">
        <v>85</v>
      </c>
      <c r="C9" s="5" t="s">
        <v>22</v>
      </c>
      <c r="D9" s="6" t="s">
        <v>23</v>
      </c>
      <c r="E9" s="7" t="s">
        <v>24</v>
      </c>
      <c r="F9" s="5" t="s">
        <v>21</v>
      </c>
      <c r="G9" s="8">
        <v>2000</v>
      </c>
      <c r="H9" s="9">
        <f t="shared" si="0"/>
        <v>100</v>
      </c>
      <c r="I9" s="9">
        <f t="shared" si="1"/>
        <v>250</v>
      </c>
      <c r="J9" s="9">
        <f t="shared" si="2"/>
        <v>220</v>
      </c>
      <c r="K9" s="8">
        <f t="shared" si="3"/>
        <v>2570</v>
      </c>
      <c r="L9" s="10">
        <v>2</v>
      </c>
      <c r="M9" s="8">
        <f t="shared" si="4"/>
        <v>5140</v>
      </c>
      <c r="N9" s="8">
        <f t="shared" si="5"/>
        <v>771</v>
      </c>
      <c r="O9" s="8">
        <f t="shared" si="6"/>
        <v>4369</v>
      </c>
    </row>
    <row r="10" spans="1:15" x14ac:dyDescent="0.25">
      <c r="A10" s="4">
        <v>45617</v>
      </c>
      <c r="B10" s="4" t="s">
        <v>86</v>
      </c>
      <c r="C10" s="5" t="s">
        <v>3</v>
      </c>
      <c r="D10" s="6" t="s">
        <v>25</v>
      </c>
      <c r="E10" s="7" t="s">
        <v>26</v>
      </c>
      <c r="F10" s="5" t="s">
        <v>21</v>
      </c>
      <c r="G10" s="8">
        <v>999</v>
      </c>
      <c r="H10" s="9">
        <f t="shared" si="0"/>
        <v>49.95</v>
      </c>
      <c r="I10" s="9">
        <f t="shared" si="1"/>
        <v>124.875</v>
      </c>
      <c r="J10" s="9">
        <f t="shared" si="2"/>
        <v>109.89</v>
      </c>
      <c r="K10" s="8">
        <f t="shared" si="3"/>
        <v>1283.7150000000001</v>
      </c>
      <c r="L10" s="10">
        <v>7</v>
      </c>
      <c r="M10" s="8">
        <f t="shared" si="4"/>
        <v>8986.005000000001</v>
      </c>
      <c r="N10" s="8">
        <f t="shared" si="5"/>
        <v>1347.90075</v>
      </c>
      <c r="O10" s="8">
        <f t="shared" si="6"/>
        <v>7638.1042500000012</v>
      </c>
    </row>
    <row r="11" spans="1:15" x14ac:dyDescent="0.25">
      <c r="A11" s="4">
        <v>45492</v>
      </c>
      <c r="B11" s="4" t="s">
        <v>87</v>
      </c>
      <c r="C11" s="5" t="s">
        <v>7</v>
      </c>
      <c r="D11" s="6" t="s">
        <v>18</v>
      </c>
      <c r="E11" s="7" t="s">
        <v>19</v>
      </c>
      <c r="F11" s="5" t="s">
        <v>27</v>
      </c>
      <c r="G11" s="8">
        <v>7999</v>
      </c>
      <c r="H11" s="9">
        <f t="shared" si="0"/>
        <v>399.95000000000005</v>
      </c>
      <c r="I11" s="9">
        <f t="shared" si="1"/>
        <v>999.875</v>
      </c>
      <c r="J11" s="9">
        <f t="shared" si="2"/>
        <v>879.89</v>
      </c>
      <c r="K11" s="8">
        <f t="shared" si="3"/>
        <v>10278.715</v>
      </c>
      <c r="L11" s="10">
        <v>1</v>
      </c>
      <c r="M11" s="8">
        <f t="shared" si="4"/>
        <v>10278.715</v>
      </c>
      <c r="N11" s="8">
        <f t="shared" si="5"/>
        <v>1541.8072500000001</v>
      </c>
      <c r="O11" s="8">
        <f t="shared" si="6"/>
        <v>8736.9077500000003</v>
      </c>
    </row>
    <row r="12" spans="1:15" x14ac:dyDescent="0.25">
      <c r="A12" s="4">
        <v>45655</v>
      </c>
      <c r="B12" s="4" t="s">
        <v>88</v>
      </c>
      <c r="C12" s="5" t="s">
        <v>10</v>
      </c>
      <c r="D12" s="6" t="s">
        <v>28</v>
      </c>
      <c r="E12" s="7" t="s">
        <v>29</v>
      </c>
      <c r="F12" s="5" t="s">
        <v>30</v>
      </c>
      <c r="G12" s="8">
        <v>5299</v>
      </c>
      <c r="H12" s="9">
        <f t="shared" si="0"/>
        <v>264.95</v>
      </c>
      <c r="I12" s="9">
        <f t="shared" si="1"/>
        <v>662.375</v>
      </c>
      <c r="J12" s="9">
        <f t="shared" si="2"/>
        <v>582.89</v>
      </c>
      <c r="K12" s="8">
        <f t="shared" si="3"/>
        <v>6809.2150000000001</v>
      </c>
      <c r="L12" s="10">
        <v>7</v>
      </c>
      <c r="M12" s="8">
        <f t="shared" si="4"/>
        <v>47664.505000000005</v>
      </c>
      <c r="N12" s="8">
        <f t="shared" si="5"/>
        <v>7149.6757500000003</v>
      </c>
      <c r="O12" s="8">
        <f t="shared" si="6"/>
        <v>40514.829250000003</v>
      </c>
    </row>
    <row r="13" spans="1:15" x14ac:dyDescent="0.25">
      <c r="A13" s="4">
        <v>45461</v>
      </c>
      <c r="B13" s="4" t="s">
        <v>80</v>
      </c>
      <c r="C13" s="5" t="s">
        <v>7</v>
      </c>
      <c r="D13" s="6" t="s">
        <v>18</v>
      </c>
      <c r="E13" s="7" t="s">
        <v>19</v>
      </c>
      <c r="F13" s="5" t="s">
        <v>31</v>
      </c>
      <c r="G13" s="8">
        <v>5999</v>
      </c>
      <c r="H13" s="9">
        <f t="shared" si="0"/>
        <v>299.95</v>
      </c>
      <c r="I13" s="9">
        <f t="shared" si="1"/>
        <v>749.875</v>
      </c>
      <c r="J13" s="9">
        <f t="shared" si="2"/>
        <v>659.89</v>
      </c>
      <c r="K13" s="8">
        <f t="shared" si="3"/>
        <v>7708.7150000000001</v>
      </c>
      <c r="L13" s="10">
        <v>3</v>
      </c>
      <c r="M13" s="8">
        <f t="shared" si="4"/>
        <v>23126.145</v>
      </c>
      <c r="N13" s="8">
        <f t="shared" si="5"/>
        <v>3468.92175</v>
      </c>
      <c r="O13" s="8">
        <f t="shared" si="6"/>
        <v>19657.223249999999</v>
      </c>
    </row>
    <row r="14" spans="1:15" x14ac:dyDescent="0.25">
      <c r="A14" s="4">
        <v>45390</v>
      </c>
      <c r="B14" s="4" t="s">
        <v>84</v>
      </c>
      <c r="C14" s="5" t="s">
        <v>7</v>
      </c>
      <c r="D14" s="6" t="s">
        <v>18</v>
      </c>
      <c r="E14" s="7" t="s">
        <v>19</v>
      </c>
      <c r="F14" s="5" t="s">
        <v>31</v>
      </c>
      <c r="G14" s="8">
        <v>5999</v>
      </c>
      <c r="H14" s="9">
        <f t="shared" si="0"/>
        <v>299.95</v>
      </c>
      <c r="I14" s="9">
        <f t="shared" si="1"/>
        <v>749.875</v>
      </c>
      <c r="J14" s="9">
        <f t="shared" si="2"/>
        <v>659.89</v>
      </c>
      <c r="K14" s="8">
        <f t="shared" si="3"/>
        <v>7708.7150000000001</v>
      </c>
      <c r="L14" s="10">
        <v>2</v>
      </c>
      <c r="M14" s="8">
        <f t="shared" si="4"/>
        <v>15417.43</v>
      </c>
      <c r="N14" s="8">
        <f t="shared" si="5"/>
        <v>2312.6145000000001</v>
      </c>
      <c r="O14" s="8">
        <f t="shared" si="6"/>
        <v>13104.815500000001</v>
      </c>
    </row>
    <row r="15" spans="1:15" x14ac:dyDescent="0.25">
      <c r="A15" s="4">
        <v>45403</v>
      </c>
      <c r="B15" s="4" t="s">
        <v>84</v>
      </c>
      <c r="C15" s="5" t="s">
        <v>22</v>
      </c>
      <c r="D15" s="6" t="s">
        <v>23</v>
      </c>
      <c r="E15" s="7" t="s">
        <v>24</v>
      </c>
      <c r="F15" s="5" t="s">
        <v>6</v>
      </c>
      <c r="G15" s="8">
        <v>4.9000000000000004</v>
      </c>
      <c r="H15" s="9">
        <f t="shared" si="0"/>
        <v>0.24500000000000002</v>
      </c>
      <c r="I15" s="9">
        <f t="shared" si="1"/>
        <v>0.61250000000000004</v>
      </c>
      <c r="J15" s="9">
        <f t="shared" si="2"/>
        <v>0.53900000000000003</v>
      </c>
      <c r="K15" s="8">
        <f t="shared" si="3"/>
        <v>6.2965</v>
      </c>
      <c r="L15" s="10">
        <v>8</v>
      </c>
      <c r="M15" s="8">
        <f t="shared" si="4"/>
        <v>50.372</v>
      </c>
      <c r="N15" s="8">
        <f t="shared" si="5"/>
        <v>7.5557999999999996</v>
      </c>
      <c r="O15" s="8">
        <f t="shared" si="6"/>
        <v>42.816200000000002</v>
      </c>
    </row>
    <row r="16" spans="1:15" x14ac:dyDescent="0.25">
      <c r="A16" s="4">
        <v>45397</v>
      </c>
      <c r="B16" s="4" t="s">
        <v>84</v>
      </c>
      <c r="C16" s="5" t="s">
        <v>7</v>
      </c>
      <c r="D16" s="6" t="s">
        <v>18</v>
      </c>
      <c r="E16" s="7" t="s">
        <v>19</v>
      </c>
      <c r="F16" s="5" t="s">
        <v>32</v>
      </c>
      <c r="G16" s="8">
        <v>1450</v>
      </c>
      <c r="H16" s="9">
        <f t="shared" si="0"/>
        <v>72.5</v>
      </c>
      <c r="I16" s="9">
        <f t="shared" si="1"/>
        <v>181.25</v>
      </c>
      <c r="J16" s="9">
        <f t="shared" si="2"/>
        <v>159.5</v>
      </c>
      <c r="K16" s="8">
        <f t="shared" si="3"/>
        <v>1863.25</v>
      </c>
      <c r="L16" s="10">
        <v>7</v>
      </c>
      <c r="M16" s="8">
        <f t="shared" si="4"/>
        <v>13042.75</v>
      </c>
      <c r="N16" s="8">
        <f t="shared" si="5"/>
        <v>1956.4124999999999</v>
      </c>
      <c r="O16" s="8">
        <f t="shared" si="6"/>
        <v>11086.3375</v>
      </c>
    </row>
    <row r="17" spans="1:15" x14ac:dyDescent="0.25">
      <c r="A17" s="4">
        <v>45315</v>
      </c>
      <c r="B17" s="4" t="s">
        <v>81</v>
      </c>
      <c r="C17" s="5" t="s">
        <v>22</v>
      </c>
      <c r="D17" s="6" t="s">
        <v>33</v>
      </c>
      <c r="E17" s="7" t="s">
        <v>34</v>
      </c>
      <c r="F17" s="5" t="s">
        <v>32</v>
      </c>
      <c r="G17" s="8">
        <v>1950</v>
      </c>
      <c r="H17" s="9">
        <f t="shared" si="0"/>
        <v>97.5</v>
      </c>
      <c r="I17" s="9">
        <f t="shared" si="1"/>
        <v>243.75</v>
      </c>
      <c r="J17" s="9">
        <f t="shared" si="2"/>
        <v>214.5</v>
      </c>
      <c r="K17" s="8">
        <f t="shared" si="3"/>
        <v>2505.75</v>
      </c>
      <c r="L17" s="10">
        <v>4</v>
      </c>
      <c r="M17" s="8">
        <f t="shared" si="4"/>
        <v>10023</v>
      </c>
      <c r="N17" s="8">
        <f t="shared" si="5"/>
        <v>1503.45</v>
      </c>
      <c r="O17" s="8">
        <f t="shared" si="6"/>
        <v>8519.5499999999993</v>
      </c>
    </row>
    <row r="18" spans="1:15" x14ac:dyDescent="0.25">
      <c r="A18" s="4">
        <v>45307</v>
      </c>
      <c r="B18" s="4" t="s">
        <v>81</v>
      </c>
      <c r="C18" s="5" t="s">
        <v>3</v>
      </c>
      <c r="D18" s="6" t="s">
        <v>4</v>
      </c>
      <c r="E18" s="7" t="s">
        <v>5</v>
      </c>
      <c r="F18" s="5" t="s">
        <v>32</v>
      </c>
      <c r="G18" s="8">
        <v>1799</v>
      </c>
      <c r="H18" s="9">
        <f t="shared" si="0"/>
        <v>89.95</v>
      </c>
      <c r="I18" s="9">
        <f t="shared" si="1"/>
        <v>224.875</v>
      </c>
      <c r="J18" s="9">
        <f t="shared" si="2"/>
        <v>197.89000000000001</v>
      </c>
      <c r="K18" s="8">
        <f t="shared" si="3"/>
        <v>2311.7149999999997</v>
      </c>
      <c r="L18" s="10">
        <v>1</v>
      </c>
      <c r="M18" s="8">
        <f t="shared" si="4"/>
        <v>2311.7149999999997</v>
      </c>
      <c r="N18" s="8">
        <f t="shared" si="5"/>
        <v>346.75724999999994</v>
      </c>
      <c r="O18" s="8">
        <f t="shared" si="6"/>
        <v>1964.9577499999998</v>
      </c>
    </row>
    <row r="19" spans="1:15" x14ac:dyDescent="0.25">
      <c r="A19" s="4">
        <v>45445</v>
      </c>
      <c r="B19" s="4" t="s">
        <v>80</v>
      </c>
      <c r="C19" s="5" t="s">
        <v>7</v>
      </c>
      <c r="D19" s="6" t="s">
        <v>8</v>
      </c>
      <c r="E19" s="7" t="s">
        <v>9</v>
      </c>
      <c r="F19" s="5" t="s">
        <v>35</v>
      </c>
      <c r="G19" s="8">
        <v>799</v>
      </c>
      <c r="H19" s="9">
        <f t="shared" si="0"/>
        <v>39.950000000000003</v>
      </c>
      <c r="I19" s="9">
        <f t="shared" si="1"/>
        <v>99.875</v>
      </c>
      <c r="J19" s="9">
        <f t="shared" si="2"/>
        <v>87.89</v>
      </c>
      <c r="K19" s="8">
        <f t="shared" si="3"/>
        <v>1026.7150000000001</v>
      </c>
      <c r="L19" s="10">
        <v>8</v>
      </c>
      <c r="M19" s="8">
        <f t="shared" si="4"/>
        <v>8213.7200000000012</v>
      </c>
      <c r="N19" s="8">
        <f t="shared" si="5"/>
        <v>1232.0580000000002</v>
      </c>
      <c r="O19" s="8">
        <f t="shared" si="6"/>
        <v>6981.6620000000012</v>
      </c>
    </row>
    <row r="20" spans="1:15" x14ac:dyDescent="0.25">
      <c r="A20" s="4">
        <v>45565</v>
      </c>
      <c r="B20" s="4" t="s">
        <v>89</v>
      </c>
      <c r="C20" s="5" t="s">
        <v>3</v>
      </c>
      <c r="D20" s="6" t="s">
        <v>4</v>
      </c>
      <c r="E20" s="7" t="s">
        <v>5</v>
      </c>
      <c r="F20" s="5" t="s">
        <v>36</v>
      </c>
      <c r="G20" s="8">
        <v>385</v>
      </c>
      <c r="H20" s="9">
        <f t="shared" si="0"/>
        <v>19.25</v>
      </c>
      <c r="I20" s="9">
        <f t="shared" si="1"/>
        <v>48.125</v>
      </c>
      <c r="J20" s="9">
        <f t="shared" si="2"/>
        <v>42.35</v>
      </c>
      <c r="K20" s="8">
        <f t="shared" si="3"/>
        <v>494.72500000000002</v>
      </c>
      <c r="L20" s="10">
        <v>6</v>
      </c>
      <c r="M20" s="8">
        <f t="shared" si="4"/>
        <v>2968.3500000000004</v>
      </c>
      <c r="N20" s="8">
        <f t="shared" si="5"/>
        <v>445.25250000000005</v>
      </c>
      <c r="O20" s="8">
        <f t="shared" si="6"/>
        <v>2523.0975000000003</v>
      </c>
    </row>
    <row r="21" spans="1:15" x14ac:dyDescent="0.25">
      <c r="A21" s="4">
        <v>45453</v>
      </c>
      <c r="B21" s="4" t="s">
        <v>80</v>
      </c>
      <c r="C21" s="5" t="s">
        <v>7</v>
      </c>
      <c r="D21" s="6" t="s">
        <v>18</v>
      </c>
      <c r="E21" s="7" t="s">
        <v>19</v>
      </c>
      <c r="F21" s="5" t="s">
        <v>36</v>
      </c>
      <c r="G21" s="8">
        <v>499</v>
      </c>
      <c r="H21" s="9">
        <f t="shared" si="0"/>
        <v>24.950000000000003</v>
      </c>
      <c r="I21" s="9">
        <f t="shared" si="1"/>
        <v>62.375</v>
      </c>
      <c r="J21" s="9">
        <f t="shared" si="2"/>
        <v>54.89</v>
      </c>
      <c r="K21" s="8">
        <f t="shared" si="3"/>
        <v>641.21500000000003</v>
      </c>
      <c r="L21" s="10">
        <v>5</v>
      </c>
      <c r="M21" s="8">
        <f t="shared" si="4"/>
        <v>3206.0750000000003</v>
      </c>
      <c r="N21" s="8">
        <f t="shared" si="5"/>
        <v>480.91125</v>
      </c>
      <c r="O21" s="8">
        <f t="shared" si="6"/>
        <v>2725.1637500000002</v>
      </c>
    </row>
    <row r="22" spans="1:15" x14ac:dyDescent="0.25">
      <c r="A22" s="4">
        <v>45313</v>
      </c>
      <c r="B22" s="4" t="s">
        <v>81</v>
      </c>
      <c r="C22" s="5" t="s">
        <v>10</v>
      </c>
      <c r="D22" s="6" t="s">
        <v>28</v>
      </c>
      <c r="E22" s="7" t="s">
        <v>29</v>
      </c>
      <c r="F22" s="5" t="s">
        <v>37</v>
      </c>
      <c r="G22" s="8">
        <v>299</v>
      </c>
      <c r="H22" s="9">
        <f t="shared" si="0"/>
        <v>14.950000000000001</v>
      </c>
      <c r="I22" s="9">
        <f t="shared" si="1"/>
        <v>37.375</v>
      </c>
      <c r="J22" s="9">
        <f t="shared" si="2"/>
        <v>32.89</v>
      </c>
      <c r="K22" s="8">
        <f t="shared" si="3"/>
        <v>384.21499999999997</v>
      </c>
      <c r="L22" s="10">
        <v>3</v>
      </c>
      <c r="M22" s="8">
        <f t="shared" si="4"/>
        <v>1152.645</v>
      </c>
      <c r="N22" s="8">
        <f t="shared" si="5"/>
        <v>172.89675</v>
      </c>
      <c r="O22" s="8">
        <f t="shared" si="6"/>
        <v>979.74824999999998</v>
      </c>
    </row>
    <row r="23" spans="1:15" x14ac:dyDescent="0.25">
      <c r="A23" s="4">
        <v>45495</v>
      </c>
      <c r="B23" s="4" t="s">
        <v>87</v>
      </c>
      <c r="C23" s="5" t="s">
        <v>3</v>
      </c>
      <c r="D23" s="6" t="s">
        <v>25</v>
      </c>
      <c r="E23" s="7" t="s">
        <v>26</v>
      </c>
      <c r="F23" s="5" t="s">
        <v>38</v>
      </c>
      <c r="G23" s="8">
        <v>329</v>
      </c>
      <c r="H23" s="9">
        <f t="shared" si="0"/>
        <v>16.45</v>
      </c>
      <c r="I23" s="9">
        <f t="shared" si="1"/>
        <v>41.125</v>
      </c>
      <c r="J23" s="9">
        <f t="shared" si="2"/>
        <v>36.19</v>
      </c>
      <c r="K23" s="8">
        <f t="shared" si="3"/>
        <v>422.76499999999999</v>
      </c>
      <c r="L23" s="10">
        <v>3</v>
      </c>
      <c r="M23" s="8">
        <f t="shared" si="4"/>
        <v>1268.2950000000001</v>
      </c>
      <c r="N23" s="8">
        <f t="shared" si="5"/>
        <v>190.24424999999999</v>
      </c>
      <c r="O23" s="8">
        <f t="shared" si="6"/>
        <v>1078.0507500000001</v>
      </c>
    </row>
    <row r="24" spans="1:15" x14ac:dyDescent="0.25">
      <c r="A24" s="4">
        <v>45402</v>
      </c>
      <c r="B24" s="4" t="s">
        <v>84</v>
      </c>
      <c r="C24" s="5" t="s">
        <v>10</v>
      </c>
      <c r="D24" s="6" t="s">
        <v>39</v>
      </c>
      <c r="E24" s="7" t="s">
        <v>40</v>
      </c>
      <c r="F24" s="5" t="s">
        <v>38</v>
      </c>
      <c r="G24" s="8">
        <v>575</v>
      </c>
      <c r="H24" s="9">
        <f t="shared" si="0"/>
        <v>28.75</v>
      </c>
      <c r="I24" s="9">
        <f t="shared" si="1"/>
        <v>71.875</v>
      </c>
      <c r="J24" s="9">
        <f t="shared" si="2"/>
        <v>63.25</v>
      </c>
      <c r="K24" s="8">
        <f t="shared" si="3"/>
        <v>738.875</v>
      </c>
      <c r="L24" s="10">
        <v>8</v>
      </c>
      <c r="M24" s="8">
        <f t="shared" si="4"/>
        <v>5911</v>
      </c>
      <c r="N24" s="8">
        <f t="shared" si="5"/>
        <v>886.65</v>
      </c>
      <c r="O24" s="8">
        <f t="shared" si="6"/>
        <v>5024.3500000000004</v>
      </c>
    </row>
    <row r="25" spans="1:15" x14ac:dyDescent="0.25">
      <c r="A25" s="4">
        <v>45359</v>
      </c>
      <c r="B25" s="4" t="s">
        <v>90</v>
      </c>
      <c r="C25" s="5" t="s">
        <v>22</v>
      </c>
      <c r="D25" s="6" t="s">
        <v>41</v>
      </c>
      <c r="E25" s="7" t="s">
        <v>42</v>
      </c>
      <c r="F25" s="5" t="s">
        <v>43</v>
      </c>
      <c r="G25" s="8">
        <v>1329</v>
      </c>
      <c r="H25" s="9">
        <f t="shared" si="0"/>
        <v>66.45</v>
      </c>
      <c r="I25" s="9">
        <f t="shared" si="1"/>
        <v>166.125</v>
      </c>
      <c r="J25" s="9">
        <f t="shared" si="2"/>
        <v>146.19</v>
      </c>
      <c r="K25" s="8">
        <f t="shared" si="3"/>
        <v>1707.7650000000001</v>
      </c>
      <c r="L25" s="10">
        <v>8</v>
      </c>
      <c r="M25" s="8">
        <f t="shared" si="4"/>
        <v>13662.12</v>
      </c>
      <c r="N25" s="8">
        <f t="shared" si="5"/>
        <v>2049.3180000000002</v>
      </c>
      <c r="O25" s="8">
        <f t="shared" si="6"/>
        <v>11612.802</v>
      </c>
    </row>
    <row r="26" spans="1:15" x14ac:dyDescent="0.25">
      <c r="A26" s="4">
        <v>45517</v>
      </c>
      <c r="B26" s="4" t="s">
        <v>82</v>
      </c>
      <c r="C26" s="5" t="s">
        <v>7</v>
      </c>
      <c r="D26" s="6" t="s">
        <v>18</v>
      </c>
      <c r="E26" s="7" t="s">
        <v>19</v>
      </c>
      <c r="F26" s="5" t="s">
        <v>20</v>
      </c>
      <c r="G26" s="8">
        <v>899</v>
      </c>
      <c r="H26" s="9">
        <f t="shared" si="0"/>
        <v>44.95</v>
      </c>
      <c r="I26" s="9">
        <f t="shared" si="1"/>
        <v>112.375</v>
      </c>
      <c r="J26" s="9">
        <f t="shared" si="2"/>
        <v>98.89</v>
      </c>
      <c r="K26" s="8">
        <f t="shared" si="3"/>
        <v>1155.2150000000001</v>
      </c>
      <c r="L26" s="10">
        <v>7</v>
      </c>
      <c r="M26" s="8">
        <f t="shared" si="4"/>
        <v>8086.505000000001</v>
      </c>
      <c r="N26" s="8">
        <f t="shared" si="5"/>
        <v>1212.9757500000001</v>
      </c>
      <c r="O26" s="8">
        <f t="shared" si="6"/>
        <v>6873.5292500000014</v>
      </c>
    </row>
    <row r="27" spans="1:15" x14ac:dyDescent="0.25">
      <c r="A27" s="4">
        <v>45362</v>
      </c>
      <c r="B27" s="4" t="s">
        <v>90</v>
      </c>
      <c r="C27" s="5" t="s">
        <v>3</v>
      </c>
      <c r="D27" s="6" t="s">
        <v>44</v>
      </c>
      <c r="E27" s="7" t="s">
        <v>45</v>
      </c>
      <c r="F27" s="5" t="s">
        <v>20</v>
      </c>
      <c r="G27" s="8">
        <v>899</v>
      </c>
      <c r="H27" s="9">
        <f t="shared" si="0"/>
        <v>44.95</v>
      </c>
      <c r="I27" s="9">
        <f t="shared" si="1"/>
        <v>112.375</v>
      </c>
      <c r="J27" s="9">
        <f t="shared" si="2"/>
        <v>98.89</v>
      </c>
      <c r="K27" s="8">
        <f t="shared" si="3"/>
        <v>1155.2150000000001</v>
      </c>
      <c r="L27" s="10">
        <v>3</v>
      </c>
      <c r="M27" s="8">
        <f t="shared" si="4"/>
        <v>3465.6450000000004</v>
      </c>
      <c r="N27" s="8">
        <f t="shared" si="5"/>
        <v>519.84675000000004</v>
      </c>
      <c r="O27" s="8">
        <f t="shared" si="6"/>
        <v>2945.7982500000003</v>
      </c>
    </row>
    <row r="28" spans="1:15" x14ac:dyDescent="0.25">
      <c r="A28" s="4">
        <v>45645</v>
      </c>
      <c r="B28" s="4" t="s">
        <v>88</v>
      </c>
      <c r="C28" s="5" t="s">
        <v>10</v>
      </c>
      <c r="D28" s="6" t="s">
        <v>11</v>
      </c>
      <c r="E28" s="7" t="s">
        <v>12</v>
      </c>
      <c r="F28" s="5" t="s">
        <v>46</v>
      </c>
      <c r="G28" s="8">
        <v>499</v>
      </c>
      <c r="H28" s="9">
        <f t="shared" si="0"/>
        <v>24.950000000000003</v>
      </c>
      <c r="I28" s="9">
        <f t="shared" si="1"/>
        <v>62.375</v>
      </c>
      <c r="J28" s="9">
        <f t="shared" si="2"/>
        <v>54.89</v>
      </c>
      <c r="K28" s="8">
        <f t="shared" si="3"/>
        <v>641.21500000000003</v>
      </c>
      <c r="L28" s="10">
        <v>2</v>
      </c>
      <c r="M28" s="8">
        <f t="shared" si="4"/>
        <v>1282.43</v>
      </c>
      <c r="N28" s="8">
        <f t="shared" si="5"/>
        <v>192.36449999999999</v>
      </c>
      <c r="O28" s="8">
        <f t="shared" si="6"/>
        <v>1090.0655000000002</v>
      </c>
    </row>
    <row r="29" spans="1:15" x14ac:dyDescent="0.25">
      <c r="A29" s="4">
        <v>45594</v>
      </c>
      <c r="B29" s="4" t="s">
        <v>83</v>
      </c>
      <c r="C29" s="5" t="s">
        <v>10</v>
      </c>
      <c r="D29" s="6" t="s">
        <v>39</v>
      </c>
      <c r="E29" s="7" t="s">
        <v>40</v>
      </c>
      <c r="F29" s="5" t="s">
        <v>46</v>
      </c>
      <c r="G29" s="8">
        <v>499</v>
      </c>
      <c r="H29" s="9">
        <f t="shared" si="0"/>
        <v>24.950000000000003</v>
      </c>
      <c r="I29" s="9">
        <f t="shared" si="1"/>
        <v>62.375</v>
      </c>
      <c r="J29" s="9">
        <f t="shared" si="2"/>
        <v>54.89</v>
      </c>
      <c r="K29" s="8">
        <f t="shared" si="3"/>
        <v>641.21500000000003</v>
      </c>
      <c r="L29" s="10">
        <v>5</v>
      </c>
      <c r="M29" s="8">
        <f t="shared" si="4"/>
        <v>3206.0750000000003</v>
      </c>
      <c r="N29" s="8">
        <f t="shared" si="5"/>
        <v>480.91125</v>
      </c>
      <c r="O29" s="8">
        <f t="shared" si="6"/>
        <v>2725.1637500000002</v>
      </c>
    </row>
    <row r="30" spans="1:15" x14ac:dyDescent="0.25">
      <c r="A30" s="4">
        <v>45339</v>
      </c>
      <c r="B30" s="4" t="s">
        <v>91</v>
      </c>
      <c r="C30" s="5" t="s">
        <v>14</v>
      </c>
      <c r="D30" s="6" t="s">
        <v>15</v>
      </c>
      <c r="E30" s="7" t="s">
        <v>16</v>
      </c>
      <c r="F30" s="5" t="s">
        <v>47</v>
      </c>
      <c r="G30" s="8">
        <v>1299</v>
      </c>
      <c r="H30" s="9">
        <f t="shared" si="0"/>
        <v>64.95</v>
      </c>
      <c r="I30" s="9">
        <f t="shared" si="1"/>
        <v>162.375</v>
      </c>
      <c r="J30" s="9">
        <f t="shared" si="2"/>
        <v>142.89000000000001</v>
      </c>
      <c r="K30" s="8">
        <f t="shared" si="3"/>
        <v>1669.2150000000001</v>
      </c>
      <c r="L30" s="10">
        <v>7</v>
      </c>
      <c r="M30" s="8">
        <f t="shared" si="4"/>
        <v>11684.505000000001</v>
      </c>
      <c r="N30" s="8">
        <f t="shared" si="5"/>
        <v>1752.6757500000001</v>
      </c>
      <c r="O30" s="8">
        <f t="shared" si="6"/>
        <v>9931.8292500000007</v>
      </c>
    </row>
    <row r="31" spans="1:15" x14ac:dyDescent="0.25">
      <c r="A31" s="4">
        <v>45569</v>
      </c>
      <c r="B31" s="4" t="s">
        <v>83</v>
      </c>
      <c r="C31" s="5" t="s">
        <v>10</v>
      </c>
      <c r="D31" s="6" t="s">
        <v>11</v>
      </c>
      <c r="E31" s="7" t="s">
        <v>12</v>
      </c>
      <c r="F31" s="5" t="s">
        <v>48</v>
      </c>
      <c r="G31" s="8">
        <v>199.9</v>
      </c>
      <c r="H31" s="9">
        <f t="shared" si="0"/>
        <v>9.995000000000001</v>
      </c>
      <c r="I31" s="9">
        <f t="shared" si="1"/>
        <v>24.987500000000001</v>
      </c>
      <c r="J31" s="9">
        <f t="shared" si="2"/>
        <v>21.989000000000001</v>
      </c>
      <c r="K31" s="8">
        <f t="shared" si="3"/>
        <v>256.87150000000003</v>
      </c>
      <c r="L31" s="10">
        <v>6</v>
      </c>
      <c r="M31" s="8">
        <f t="shared" si="4"/>
        <v>1541.2290000000003</v>
      </c>
      <c r="N31" s="8">
        <f t="shared" si="5"/>
        <v>231.18435000000002</v>
      </c>
      <c r="O31" s="8">
        <f t="shared" si="6"/>
        <v>1310.0446500000003</v>
      </c>
    </row>
    <row r="32" spans="1:15" x14ac:dyDescent="0.25">
      <c r="A32" s="4">
        <v>45592</v>
      </c>
      <c r="B32" s="4" t="s">
        <v>83</v>
      </c>
      <c r="C32" s="5" t="s">
        <v>3</v>
      </c>
      <c r="D32" s="6" t="s">
        <v>25</v>
      </c>
      <c r="E32" s="7" t="s">
        <v>26</v>
      </c>
      <c r="F32" s="5" t="s">
        <v>48</v>
      </c>
      <c r="G32" s="8">
        <v>199.9</v>
      </c>
      <c r="H32" s="9">
        <f t="shared" si="0"/>
        <v>9.995000000000001</v>
      </c>
      <c r="I32" s="9">
        <f t="shared" si="1"/>
        <v>24.987500000000001</v>
      </c>
      <c r="J32" s="9">
        <f t="shared" si="2"/>
        <v>21.989000000000001</v>
      </c>
      <c r="K32" s="8">
        <f t="shared" si="3"/>
        <v>256.87150000000003</v>
      </c>
      <c r="L32" s="10">
        <v>7</v>
      </c>
      <c r="M32" s="8">
        <f t="shared" si="4"/>
        <v>1798.1005000000002</v>
      </c>
      <c r="N32" s="8">
        <f t="shared" si="5"/>
        <v>269.71507500000001</v>
      </c>
      <c r="O32" s="8">
        <f t="shared" si="6"/>
        <v>1528.3854250000002</v>
      </c>
    </row>
    <row r="33" spans="1:15" x14ac:dyDescent="0.25">
      <c r="A33" s="4">
        <v>45328</v>
      </c>
      <c r="B33" s="4" t="s">
        <v>91</v>
      </c>
      <c r="C33" s="5" t="s">
        <v>7</v>
      </c>
      <c r="D33" s="6" t="s">
        <v>8</v>
      </c>
      <c r="E33" s="7" t="s">
        <v>9</v>
      </c>
      <c r="F33" s="5" t="s">
        <v>49</v>
      </c>
      <c r="G33" s="8">
        <v>349</v>
      </c>
      <c r="H33" s="9">
        <f t="shared" si="0"/>
        <v>17.45</v>
      </c>
      <c r="I33" s="9">
        <f t="shared" si="1"/>
        <v>43.625</v>
      </c>
      <c r="J33" s="9">
        <f t="shared" si="2"/>
        <v>38.39</v>
      </c>
      <c r="K33" s="8">
        <f t="shared" si="3"/>
        <v>448.46499999999997</v>
      </c>
      <c r="L33" s="10">
        <v>7</v>
      </c>
      <c r="M33" s="8">
        <f t="shared" si="4"/>
        <v>3139.2549999999997</v>
      </c>
      <c r="N33" s="8">
        <f t="shared" si="5"/>
        <v>470.88824999999991</v>
      </c>
      <c r="O33" s="8">
        <f t="shared" si="6"/>
        <v>2668.3667499999997</v>
      </c>
    </row>
    <row r="34" spans="1:15" x14ac:dyDescent="0.25">
      <c r="A34" s="4">
        <v>45516</v>
      </c>
      <c r="B34" s="4" t="s">
        <v>82</v>
      </c>
      <c r="C34" s="5" t="s">
        <v>3</v>
      </c>
      <c r="D34" s="6" t="s">
        <v>44</v>
      </c>
      <c r="E34" s="7" t="s">
        <v>45</v>
      </c>
      <c r="F34" s="5" t="s">
        <v>50</v>
      </c>
      <c r="G34" s="8">
        <v>31.9</v>
      </c>
      <c r="H34" s="9">
        <f t="shared" si="0"/>
        <v>1.595</v>
      </c>
      <c r="I34" s="9">
        <f t="shared" si="1"/>
        <v>3.9874999999999998</v>
      </c>
      <c r="J34" s="9">
        <f t="shared" si="2"/>
        <v>3.5089999999999999</v>
      </c>
      <c r="K34" s="8">
        <f t="shared" si="3"/>
        <v>40.991499999999995</v>
      </c>
      <c r="L34" s="10">
        <v>1</v>
      </c>
      <c r="M34" s="8">
        <f t="shared" si="4"/>
        <v>40.991499999999995</v>
      </c>
      <c r="N34" s="8">
        <f t="shared" si="5"/>
        <v>6.1487249999999989</v>
      </c>
      <c r="O34" s="8">
        <f t="shared" si="6"/>
        <v>34.842774999999996</v>
      </c>
    </row>
    <row r="35" spans="1:15" x14ac:dyDescent="0.25">
      <c r="A35" s="4">
        <v>45449</v>
      </c>
      <c r="B35" s="4" t="s">
        <v>80</v>
      </c>
      <c r="C35" s="5" t="s">
        <v>7</v>
      </c>
      <c r="D35" s="6" t="s">
        <v>18</v>
      </c>
      <c r="E35" s="7" t="s">
        <v>19</v>
      </c>
      <c r="F35" s="5" t="s">
        <v>51</v>
      </c>
      <c r="G35" s="8">
        <v>299</v>
      </c>
      <c r="H35" s="9">
        <f t="shared" si="0"/>
        <v>14.950000000000001</v>
      </c>
      <c r="I35" s="9">
        <f t="shared" si="1"/>
        <v>37.375</v>
      </c>
      <c r="J35" s="9">
        <f t="shared" si="2"/>
        <v>32.89</v>
      </c>
      <c r="K35" s="8">
        <f t="shared" si="3"/>
        <v>384.21499999999997</v>
      </c>
      <c r="L35" s="10">
        <v>6</v>
      </c>
      <c r="M35" s="8">
        <f t="shared" si="4"/>
        <v>2305.29</v>
      </c>
      <c r="N35" s="8">
        <f t="shared" si="5"/>
        <v>345.79349999999999</v>
      </c>
      <c r="O35" s="8">
        <f t="shared" si="6"/>
        <v>1959.4965</v>
      </c>
    </row>
    <row r="36" spans="1:15" x14ac:dyDescent="0.25">
      <c r="A36" s="4">
        <v>45630</v>
      </c>
      <c r="B36" s="4" t="s">
        <v>88</v>
      </c>
      <c r="C36" s="5" t="s">
        <v>7</v>
      </c>
      <c r="D36" s="6" t="s">
        <v>18</v>
      </c>
      <c r="E36" s="7" t="s">
        <v>19</v>
      </c>
      <c r="F36" s="5" t="s">
        <v>52</v>
      </c>
      <c r="G36" s="8">
        <v>99.9</v>
      </c>
      <c r="H36" s="9">
        <f t="shared" si="0"/>
        <v>4.995000000000001</v>
      </c>
      <c r="I36" s="9">
        <f t="shared" si="1"/>
        <v>12.487500000000001</v>
      </c>
      <c r="J36" s="9">
        <f t="shared" si="2"/>
        <v>10.989000000000001</v>
      </c>
      <c r="K36" s="8">
        <f t="shared" si="3"/>
        <v>128.3715</v>
      </c>
      <c r="L36" s="10">
        <v>7</v>
      </c>
      <c r="M36" s="8">
        <f t="shared" si="4"/>
        <v>898.60050000000001</v>
      </c>
      <c r="N36" s="8">
        <f t="shared" si="5"/>
        <v>134.790075</v>
      </c>
      <c r="O36" s="8">
        <f t="shared" si="6"/>
        <v>763.81042500000001</v>
      </c>
    </row>
    <row r="37" spans="1:15" x14ac:dyDescent="0.25">
      <c r="A37" s="4">
        <v>45383</v>
      </c>
      <c r="B37" s="4" t="s">
        <v>84</v>
      </c>
      <c r="C37" s="5" t="s">
        <v>14</v>
      </c>
      <c r="D37" s="6" t="s">
        <v>53</v>
      </c>
      <c r="E37" s="7" t="s">
        <v>54</v>
      </c>
      <c r="F37" s="5" t="s">
        <v>27</v>
      </c>
      <c r="G37" s="8">
        <v>7999</v>
      </c>
      <c r="H37" s="9">
        <f t="shared" si="0"/>
        <v>399.95000000000005</v>
      </c>
      <c r="I37" s="9">
        <f t="shared" si="1"/>
        <v>999.875</v>
      </c>
      <c r="J37" s="9">
        <f t="shared" si="2"/>
        <v>879.89</v>
      </c>
      <c r="K37" s="8">
        <f t="shared" si="3"/>
        <v>10278.715</v>
      </c>
      <c r="L37" s="10">
        <v>5</v>
      </c>
      <c r="M37" s="8">
        <f t="shared" si="4"/>
        <v>51393.574999999997</v>
      </c>
      <c r="N37" s="8">
        <f t="shared" si="5"/>
        <v>7709.0362499999992</v>
      </c>
      <c r="O37" s="8">
        <f t="shared" si="6"/>
        <v>43684.53875</v>
      </c>
    </row>
    <row r="38" spans="1:15" x14ac:dyDescent="0.25">
      <c r="A38" s="4">
        <v>45403</v>
      </c>
      <c r="B38" s="4" t="s">
        <v>84</v>
      </c>
      <c r="C38" s="5" t="s">
        <v>14</v>
      </c>
      <c r="D38" s="6" t="s">
        <v>53</v>
      </c>
      <c r="E38" s="7" t="s">
        <v>54</v>
      </c>
      <c r="F38" s="5" t="s">
        <v>6</v>
      </c>
      <c r="G38" s="8">
        <v>4.9000000000000004</v>
      </c>
      <c r="H38" s="9">
        <f t="shared" si="0"/>
        <v>0.24500000000000002</v>
      </c>
      <c r="I38" s="9">
        <f t="shared" si="1"/>
        <v>0.61250000000000004</v>
      </c>
      <c r="J38" s="9">
        <f t="shared" si="2"/>
        <v>0.53900000000000003</v>
      </c>
      <c r="K38" s="8">
        <f t="shared" si="3"/>
        <v>6.2965</v>
      </c>
      <c r="L38" s="10">
        <v>5</v>
      </c>
      <c r="M38" s="8">
        <f t="shared" si="4"/>
        <v>31.482500000000002</v>
      </c>
      <c r="N38" s="8">
        <f t="shared" si="5"/>
        <v>4.7223750000000004</v>
      </c>
      <c r="O38" s="8">
        <f t="shared" si="6"/>
        <v>26.760125000000002</v>
      </c>
    </row>
    <row r="39" spans="1:15" x14ac:dyDescent="0.25">
      <c r="A39" s="4">
        <v>45325</v>
      </c>
      <c r="B39" s="4" t="s">
        <v>91</v>
      </c>
      <c r="C39" s="5" t="s">
        <v>22</v>
      </c>
      <c r="D39" s="6" t="s">
        <v>41</v>
      </c>
      <c r="E39" s="7" t="s">
        <v>42</v>
      </c>
      <c r="F39" s="5" t="s">
        <v>6</v>
      </c>
      <c r="G39" s="8">
        <v>5.75</v>
      </c>
      <c r="H39" s="9">
        <f t="shared" si="0"/>
        <v>0.28750000000000003</v>
      </c>
      <c r="I39" s="9">
        <f t="shared" si="1"/>
        <v>0.71875</v>
      </c>
      <c r="J39" s="9">
        <f t="shared" si="2"/>
        <v>0.63249999999999995</v>
      </c>
      <c r="K39" s="8">
        <f t="shared" si="3"/>
        <v>7.3887499999999999</v>
      </c>
      <c r="L39" s="10">
        <v>2</v>
      </c>
      <c r="M39" s="8">
        <f t="shared" si="4"/>
        <v>14.7775</v>
      </c>
      <c r="N39" s="8">
        <f t="shared" si="5"/>
        <v>2.2166250000000001</v>
      </c>
      <c r="O39" s="8">
        <f t="shared" si="6"/>
        <v>12.560874999999999</v>
      </c>
    </row>
    <row r="40" spans="1:15" x14ac:dyDescent="0.25">
      <c r="A40" s="4">
        <v>45499</v>
      </c>
      <c r="B40" s="4" t="s">
        <v>87</v>
      </c>
      <c r="C40" s="5" t="s">
        <v>7</v>
      </c>
      <c r="D40" s="6" t="s">
        <v>18</v>
      </c>
      <c r="E40" s="7" t="s">
        <v>19</v>
      </c>
      <c r="F40" s="5" t="s">
        <v>32</v>
      </c>
      <c r="G40" s="8">
        <v>1799</v>
      </c>
      <c r="H40" s="9">
        <f t="shared" si="0"/>
        <v>89.95</v>
      </c>
      <c r="I40" s="9">
        <f t="shared" si="1"/>
        <v>224.875</v>
      </c>
      <c r="J40" s="9">
        <f t="shared" si="2"/>
        <v>197.89000000000001</v>
      </c>
      <c r="K40" s="8">
        <f t="shared" si="3"/>
        <v>2311.7149999999997</v>
      </c>
      <c r="L40" s="10">
        <v>3</v>
      </c>
      <c r="M40" s="8">
        <f t="shared" si="4"/>
        <v>6935.1449999999986</v>
      </c>
      <c r="N40" s="8">
        <f t="shared" si="5"/>
        <v>1040.2717499999997</v>
      </c>
      <c r="O40" s="8">
        <f t="shared" si="6"/>
        <v>5894.8732499999987</v>
      </c>
    </row>
    <row r="41" spans="1:15" x14ac:dyDescent="0.25">
      <c r="A41" s="4">
        <v>45491</v>
      </c>
      <c r="B41" s="4" t="s">
        <v>87</v>
      </c>
      <c r="C41" s="5" t="s">
        <v>7</v>
      </c>
      <c r="D41" s="6" t="s">
        <v>8</v>
      </c>
      <c r="E41" s="7" t="s">
        <v>9</v>
      </c>
      <c r="F41" s="5" t="s">
        <v>32</v>
      </c>
      <c r="G41" s="8">
        <v>1799</v>
      </c>
      <c r="H41" s="9">
        <f t="shared" si="0"/>
        <v>89.95</v>
      </c>
      <c r="I41" s="9">
        <f t="shared" si="1"/>
        <v>224.875</v>
      </c>
      <c r="J41" s="9">
        <f t="shared" si="2"/>
        <v>197.89000000000001</v>
      </c>
      <c r="K41" s="8">
        <f t="shared" si="3"/>
        <v>2311.7149999999997</v>
      </c>
      <c r="L41" s="10">
        <v>1</v>
      </c>
      <c r="M41" s="8">
        <f t="shared" si="4"/>
        <v>2311.7149999999997</v>
      </c>
      <c r="N41" s="8">
        <f t="shared" si="5"/>
        <v>346.75724999999994</v>
      </c>
      <c r="O41" s="8">
        <f t="shared" si="6"/>
        <v>1964.9577499999998</v>
      </c>
    </row>
    <row r="42" spans="1:15" x14ac:dyDescent="0.25">
      <c r="A42" s="4">
        <v>45386</v>
      </c>
      <c r="B42" s="4" t="s">
        <v>84</v>
      </c>
      <c r="C42" s="5" t="s">
        <v>14</v>
      </c>
      <c r="D42" s="6" t="s">
        <v>55</v>
      </c>
      <c r="E42" s="7" t="s">
        <v>56</v>
      </c>
      <c r="F42" s="5" t="s">
        <v>35</v>
      </c>
      <c r="G42" s="8">
        <v>485</v>
      </c>
      <c r="H42" s="9">
        <f t="shared" si="0"/>
        <v>24.25</v>
      </c>
      <c r="I42" s="9">
        <f t="shared" si="1"/>
        <v>60.625</v>
      </c>
      <c r="J42" s="9">
        <f t="shared" si="2"/>
        <v>53.35</v>
      </c>
      <c r="K42" s="8">
        <f t="shared" si="3"/>
        <v>623.22500000000002</v>
      </c>
      <c r="L42" s="10">
        <v>6</v>
      </c>
      <c r="M42" s="8">
        <f t="shared" si="4"/>
        <v>3739.3500000000004</v>
      </c>
      <c r="N42" s="8">
        <f t="shared" si="5"/>
        <v>560.90250000000003</v>
      </c>
      <c r="O42" s="8">
        <f t="shared" si="6"/>
        <v>3178.4475000000002</v>
      </c>
    </row>
    <row r="43" spans="1:15" x14ac:dyDescent="0.25">
      <c r="A43" s="4">
        <v>45492</v>
      </c>
      <c r="B43" s="4" t="s">
        <v>87</v>
      </c>
      <c r="C43" s="5" t="s">
        <v>7</v>
      </c>
      <c r="D43" s="6" t="s">
        <v>8</v>
      </c>
      <c r="E43" s="7" t="s">
        <v>9</v>
      </c>
      <c r="F43" s="5" t="s">
        <v>35</v>
      </c>
      <c r="G43" s="8">
        <v>550</v>
      </c>
      <c r="H43" s="9">
        <f t="shared" si="0"/>
        <v>27.5</v>
      </c>
      <c r="I43" s="9">
        <f t="shared" si="1"/>
        <v>68.75</v>
      </c>
      <c r="J43" s="9">
        <f t="shared" si="2"/>
        <v>60.5</v>
      </c>
      <c r="K43" s="8">
        <f t="shared" si="3"/>
        <v>706.75</v>
      </c>
      <c r="L43" s="10">
        <v>2</v>
      </c>
      <c r="M43" s="8">
        <f t="shared" si="4"/>
        <v>1413.5</v>
      </c>
      <c r="N43" s="8">
        <f t="shared" si="5"/>
        <v>212.02500000000001</v>
      </c>
      <c r="O43" s="8">
        <f t="shared" si="6"/>
        <v>1201.4749999999999</v>
      </c>
    </row>
    <row r="44" spans="1:15" x14ac:dyDescent="0.25">
      <c r="A44" s="4">
        <v>45437</v>
      </c>
      <c r="B44" s="4" t="s">
        <v>85</v>
      </c>
      <c r="C44" s="5" t="s">
        <v>22</v>
      </c>
      <c r="D44" s="6" t="s">
        <v>41</v>
      </c>
      <c r="E44" s="7" t="s">
        <v>42</v>
      </c>
      <c r="F44" s="5" t="s">
        <v>35</v>
      </c>
      <c r="G44" s="8">
        <v>550</v>
      </c>
      <c r="H44" s="9">
        <f t="shared" si="0"/>
        <v>27.5</v>
      </c>
      <c r="I44" s="9">
        <f t="shared" si="1"/>
        <v>68.75</v>
      </c>
      <c r="J44" s="9">
        <f t="shared" si="2"/>
        <v>60.5</v>
      </c>
      <c r="K44" s="8">
        <f t="shared" si="3"/>
        <v>706.75</v>
      </c>
      <c r="L44" s="10">
        <v>2</v>
      </c>
      <c r="M44" s="8">
        <f t="shared" si="4"/>
        <v>1413.5</v>
      </c>
      <c r="N44" s="8">
        <f t="shared" si="5"/>
        <v>212.02500000000001</v>
      </c>
      <c r="O44" s="8">
        <f t="shared" si="6"/>
        <v>1201.4749999999999</v>
      </c>
    </row>
    <row r="45" spans="1:15" x14ac:dyDescent="0.25">
      <c r="A45" s="4">
        <v>45516</v>
      </c>
      <c r="B45" s="4" t="s">
        <v>82</v>
      </c>
      <c r="C45" s="5" t="s">
        <v>14</v>
      </c>
      <c r="D45" s="6" t="s">
        <v>55</v>
      </c>
      <c r="E45" s="7" t="s">
        <v>56</v>
      </c>
      <c r="F45" s="5" t="s">
        <v>37</v>
      </c>
      <c r="G45" s="8">
        <v>299</v>
      </c>
      <c r="H45" s="9">
        <f t="shared" si="0"/>
        <v>14.950000000000001</v>
      </c>
      <c r="I45" s="9">
        <f t="shared" si="1"/>
        <v>37.375</v>
      </c>
      <c r="J45" s="9">
        <f t="shared" si="2"/>
        <v>32.89</v>
      </c>
      <c r="K45" s="8">
        <f t="shared" si="3"/>
        <v>384.21499999999997</v>
      </c>
      <c r="L45" s="10">
        <v>3</v>
      </c>
      <c r="M45" s="8">
        <f t="shared" si="4"/>
        <v>1152.645</v>
      </c>
      <c r="N45" s="8">
        <f t="shared" si="5"/>
        <v>172.89675</v>
      </c>
      <c r="O45" s="8">
        <f t="shared" si="6"/>
        <v>979.74824999999998</v>
      </c>
    </row>
    <row r="46" spans="1:15" x14ac:dyDescent="0.25">
      <c r="A46" s="4">
        <v>45371</v>
      </c>
      <c r="B46" s="4" t="s">
        <v>90</v>
      </c>
      <c r="C46" s="5" t="s">
        <v>10</v>
      </c>
      <c r="D46" s="6" t="s">
        <v>11</v>
      </c>
      <c r="E46" s="7" t="s">
        <v>12</v>
      </c>
      <c r="F46" s="5" t="s">
        <v>38</v>
      </c>
      <c r="G46" s="8">
        <v>329</v>
      </c>
      <c r="H46" s="9">
        <f t="shared" si="0"/>
        <v>16.45</v>
      </c>
      <c r="I46" s="9">
        <f t="shared" si="1"/>
        <v>41.125</v>
      </c>
      <c r="J46" s="9">
        <f t="shared" si="2"/>
        <v>36.19</v>
      </c>
      <c r="K46" s="8">
        <f t="shared" si="3"/>
        <v>422.76499999999999</v>
      </c>
      <c r="L46" s="10">
        <v>1</v>
      </c>
      <c r="M46" s="8">
        <f t="shared" si="4"/>
        <v>422.76499999999999</v>
      </c>
      <c r="N46" s="8">
        <f t="shared" si="5"/>
        <v>63.414749999999998</v>
      </c>
      <c r="O46" s="8">
        <f t="shared" si="6"/>
        <v>359.35024999999996</v>
      </c>
    </row>
    <row r="47" spans="1:15" x14ac:dyDescent="0.25">
      <c r="A47" s="4">
        <v>45396</v>
      </c>
      <c r="B47" s="4" t="s">
        <v>84</v>
      </c>
      <c r="C47" s="5" t="s">
        <v>14</v>
      </c>
      <c r="D47" s="6" t="s">
        <v>55</v>
      </c>
      <c r="E47" s="7" t="s">
        <v>56</v>
      </c>
      <c r="F47" s="5" t="s">
        <v>38</v>
      </c>
      <c r="G47" s="8">
        <v>329</v>
      </c>
      <c r="H47" s="9">
        <f t="shared" si="0"/>
        <v>16.45</v>
      </c>
      <c r="I47" s="9">
        <f t="shared" si="1"/>
        <v>41.125</v>
      </c>
      <c r="J47" s="9">
        <f t="shared" si="2"/>
        <v>36.19</v>
      </c>
      <c r="K47" s="8">
        <f t="shared" si="3"/>
        <v>422.76499999999999</v>
      </c>
      <c r="L47" s="10">
        <v>1</v>
      </c>
      <c r="M47" s="8">
        <f t="shared" si="4"/>
        <v>422.76499999999999</v>
      </c>
      <c r="N47" s="8">
        <f t="shared" si="5"/>
        <v>63.414749999999998</v>
      </c>
      <c r="O47" s="8">
        <f t="shared" si="6"/>
        <v>359.35024999999996</v>
      </c>
    </row>
    <row r="48" spans="1:15" x14ac:dyDescent="0.25">
      <c r="A48" s="4">
        <v>45624</v>
      </c>
      <c r="B48" s="4" t="s">
        <v>86</v>
      </c>
      <c r="C48" s="5" t="s">
        <v>22</v>
      </c>
      <c r="D48" s="6" t="s">
        <v>23</v>
      </c>
      <c r="E48" s="7" t="s">
        <v>24</v>
      </c>
      <c r="F48" s="5" t="s">
        <v>43</v>
      </c>
      <c r="G48" s="8">
        <v>1329</v>
      </c>
      <c r="H48" s="9">
        <f t="shared" si="0"/>
        <v>66.45</v>
      </c>
      <c r="I48" s="9">
        <f t="shared" si="1"/>
        <v>166.125</v>
      </c>
      <c r="J48" s="9">
        <f t="shared" si="2"/>
        <v>146.19</v>
      </c>
      <c r="K48" s="8">
        <f t="shared" si="3"/>
        <v>1707.7650000000001</v>
      </c>
      <c r="L48" s="10">
        <v>7</v>
      </c>
      <c r="M48" s="8">
        <f t="shared" si="4"/>
        <v>11954.355000000001</v>
      </c>
      <c r="N48" s="8">
        <f t="shared" si="5"/>
        <v>1793.1532500000001</v>
      </c>
      <c r="O48" s="8">
        <f t="shared" si="6"/>
        <v>10161.201750000002</v>
      </c>
    </row>
    <row r="49" spans="1:15" x14ac:dyDescent="0.25">
      <c r="A49" s="4">
        <v>45451</v>
      </c>
      <c r="B49" s="4" t="s">
        <v>80</v>
      </c>
      <c r="C49" s="5" t="s">
        <v>7</v>
      </c>
      <c r="D49" s="6" t="s">
        <v>18</v>
      </c>
      <c r="E49" s="7" t="s">
        <v>19</v>
      </c>
      <c r="F49" s="5" t="s">
        <v>17</v>
      </c>
      <c r="G49" s="8">
        <v>519</v>
      </c>
      <c r="H49" s="9">
        <f t="shared" si="0"/>
        <v>25.950000000000003</v>
      </c>
      <c r="I49" s="9">
        <f t="shared" si="1"/>
        <v>64.875</v>
      </c>
      <c r="J49" s="9">
        <f t="shared" si="2"/>
        <v>57.09</v>
      </c>
      <c r="K49" s="8">
        <f t="shared" si="3"/>
        <v>666.91500000000008</v>
      </c>
      <c r="L49" s="10">
        <v>4</v>
      </c>
      <c r="M49" s="8">
        <f t="shared" si="4"/>
        <v>2667.6600000000003</v>
      </c>
      <c r="N49" s="8">
        <f t="shared" si="5"/>
        <v>400.14900000000006</v>
      </c>
      <c r="O49" s="8">
        <f t="shared" si="6"/>
        <v>2267.5110000000004</v>
      </c>
    </row>
    <row r="50" spans="1:15" x14ac:dyDescent="0.25">
      <c r="A50" s="4">
        <v>45575</v>
      </c>
      <c r="B50" s="4" t="s">
        <v>83</v>
      </c>
      <c r="C50" s="5" t="s">
        <v>22</v>
      </c>
      <c r="D50" s="6" t="s">
        <v>33</v>
      </c>
      <c r="E50" s="7" t="s">
        <v>34</v>
      </c>
      <c r="F50" s="5" t="s">
        <v>20</v>
      </c>
      <c r="G50" s="8">
        <v>899</v>
      </c>
      <c r="H50" s="9">
        <f t="shared" si="0"/>
        <v>44.95</v>
      </c>
      <c r="I50" s="9">
        <f t="shared" si="1"/>
        <v>112.375</v>
      </c>
      <c r="J50" s="9">
        <f t="shared" si="2"/>
        <v>98.89</v>
      </c>
      <c r="K50" s="8">
        <f t="shared" si="3"/>
        <v>1155.2150000000001</v>
      </c>
      <c r="L50" s="10">
        <v>5</v>
      </c>
      <c r="M50" s="8">
        <f t="shared" si="4"/>
        <v>5776.0750000000007</v>
      </c>
      <c r="N50" s="8">
        <f t="shared" si="5"/>
        <v>866.41125000000011</v>
      </c>
      <c r="O50" s="8">
        <f t="shared" si="6"/>
        <v>4909.6637500000006</v>
      </c>
    </row>
    <row r="51" spans="1:15" x14ac:dyDescent="0.25">
      <c r="A51" s="4">
        <v>45420</v>
      </c>
      <c r="B51" s="4" t="s">
        <v>85</v>
      </c>
      <c r="C51" s="5" t="s">
        <v>7</v>
      </c>
      <c r="D51" s="6" t="s">
        <v>8</v>
      </c>
      <c r="E51" s="7" t="s">
        <v>9</v>
      </c>
      <c r="F51" s="5" t="s">
        <v>57</v>
      </c>
      <c r="G51" s="8">
        <v>1299</v>
      </c>
      <c r="H51" s="9">
        <f t="shared" si="0"/>
        <v>64.95</v>
      </c>
      <c r="I51" s="9">
        <f t="shared" si="1"/>
        <v>162.375</v>
      </c>
      <c r="J51" s="9">
        <f t="shared" si="2"/>
        <v>142.89000000000001</v>
      </c>
      <c r="K51" s="8">
        <f t="shared" si="3"/>
        <v>1669.2150000000001</v>
      </c>
      <c r="L51" s="10">
        <v>1</v>
      </c>
      <c r="M51" s="8">
        <f t="shared" si="4"/>
        <v>1669.2150000000001</v>
      </c>
      <c r="N51" s="8">
        <f t="shared" si="5"/>
        <v>250.38225</v>
      </c>
      <c r="O51" s="8">
        <f t="shared" si="6"/>
        <v>1418.83275</v>
      </c>
    </row>
    <row r="52" spans="1:15" x14ac:dyDescent="0.25">
      <c r="A52" s="4">
        <v>45292</v>
      </c>
      <c r="B52" s="4" t="s">
        <v>81</v>
      </c>
      <c r="C52" s="5" t="s">
        <v>14</v>
      </c>
      <c r="D52" s="6" t="s">
        <v>15</v>
      </c>
      <c r="E52" s="7" t="s">
        <v>16</v>
      </c>
      <c r="F52" s="5" t="s">
        <v>46</v>
      </c>
      <c r="G52" s="8">
        <v>499</v>
      </c>
      <c r="H52" s="9">
        <f t="shared" si="0"/>
        <v>24.950000000000003</v>
      </c>
      <c r="I52" s="9">
        <f t="shared" si="1"/>
        <v>62.375</v>
      </c>
      <c r="J52" s="9">
        <f t="shared" si="2"/>
        <v>54.89</v>
      </c>
      <c r="K52" s="8">
        <f t="shared" si="3"/>
        <v>641.21500000000003</v>
      </c>
      <c r="L52" s="10">
        <v>1</v>
      </c>
      <c r="M52" s="8">
        <f t="shared" si="4"/>
        <v>641.21500000000003</v>
      </c>
      <c r="N52" s="8">
        <f t="shared" si="5"/>
        <v>96.182249999999996</v>
      </c>
      <c r="O52" s="8">
        <f t="shared" si="6"/>
        <v>545.03275000000008</v>
      </c>
    </row>
    <row r="53" spans="1:15" x14ac:dyDescent="0.25">
      <c r="A53" s="4">
        <v>45620</v>
      </c>
      <c r="B53" s="4" t="s">
        <v>86</v>
      </c>
      <c r="C53" s="5" t="s">
        <v>7</v>
      </c>
      <c r="D53" s="6" t="s">
        <v>18</v>
      </c>
      <c r="E53" s="7" t="s">
        <v>19</v>
      </c>
      <c r="F53" s="5" t="s">
        <v>46</v>
      </c>
      <c r="G53" s="8">
        <v>499</v>
      </c>
      <c r="H53" s="9">
        <f t="shared" si="0"/>
        <v>24.950000000000003</v>
      </c>
      <c r="I53" s="9">
        <f t="shared" si="1"/>
        <v>62.375</v>
      </c>
      <c r="J53" s="9">
        <f t="shared" si="2"/>
        <v>54.89</v>
      </c>
      <c r="K53" s="8">
        <f t="shared" si="3"/>
        <v>641.21500000000003</v>
      </c>
      <c r="L53" s="10">
        <v>3</v>
      </c>
      <c r="M53" s="8">
        <f t="shared" si="4"/>
        <v>1923.645</v>
      </c>
      <c r="N53" s="8">
        <f t="shared" si="5"/>
        <v>288.54674999999997</v>
      </c>
      <c r="O53" s="8">
        <f t="shared" si="6"/>
        <v>1635.09825</v>
      </c>
    </row>
    <row r="54" spans="1:15" x14ac:dyDescent="0.25">
      <c r="A54" s="4">
        <v>45346</v>
      </c>
      <c r="B54" s="4" t="s">
        <v>91</v>
      </c>
      <c r="C54" s="5" t="s">
        <v>3</v>
      </c>
      <c r="D54" s="6" t="s">
        <v>25</v>
      </c>
      <c r="E54" s="7" t="s">
        <v>26</v>
      </c>
      <c r="F54" s="5" t="s">
        <v>47</v>
      </c>
      <c r="G54" s="8">
        <v>1299</v>
      </c>
      <c r="H54" s="9">
        <f t="shared" si="0"/>
        <v>64.95</v>
      </c>
      <c r="I54" s="9">
        <f t="shared" si="1"/>
        <v>162.375</v>
      </c>
      <c r="J54" s="9">
        <f t="shared" si="2"/>
        <v>142.89000000000001</v>
      </c>
      <c r="K54" s="8">
        <f t="shared" si="3"/>
        <v>1669.2150000000001</v>
      </c>
      <c r="L54" s="10">
        <v>1</v>
      </c>
      <c r="M54" s="8">
        <f t="shared" si="4"/>
        <v>1669.2150000000001</v>
      </c>
      <c r="N54" s="8">
        <f t="shared" si="5"/>
        <v>250.38225</v>
      </c>
      <c r="O54" s="8">
        <f t="shared" si="6"/>
        <v>1418.83275</v>
      </c>
    </row>
    <row r="55" spans="1:15" x14ac:dyDescent="0.25">
      <c r="A55" s="4">
        <v>45312</v>
      </c>
      <c r="B55" s="4" t="s">
        <v>81</v>
      </c>
      <c r="C55" s="5" t="s">
        <v>10</v>
      </c>
      <c r="D55" s="6" t="s">
        <v>28</v>
      </c>
      <c r="E55" s="7" t="s">
        <v>29</v>
      </c>
      <c r="F55" s="5" t="s">
        <v>47</v>
      </c>
      <c r="G55" s="8">
        <v>1299</v>
      </c>
      <c r="H55" s="9">
        <f t="shared" si="0"/>
        <v>64.95</v>
      </c>
      <c r="I55" s="9">
        <f t="shared" si="1"/>
        <v>162.375</v>
      </c>
      <c r="J55" s="9">
        <f t="shared" si="2"/>
        <v>142.89000000000001</v>
      </c>
      <c r="K55" s="8">
        <f t="shared" si="3"/>
        <v>1669.2150000000001</v>
      </c>
      <c r="L55" s="10">
        <v>6</v>
      </c>
      <c r="M55" s="8">
        <f t="shared" si="4"/>
        <v>10015.290000000001</v>
      </c>
      <c r="N55" s="8">
        <f t="shared" si="5"/>
        <v>1502.2935</v>
      </c>
      <c r="O55" s="8">
        <f t="shared" si="6"/>
        <v>8512.9965000000011</v>
      </c>
    </row>
    <row r="56" spans="1:15" x14ac:dyDescent="0.25">
      <c r="A56" s="4">
        <v>45430</v>
      </c>
      <c r="B56" s="4" t="s">
        <v>85</v>
      </c>
      <c r="C56" s="5" t="s">
        <v>3</v>
      </c>
      <c r="D56" s="6" t="s">
        <v>4</v>
      </c>
      <c r="E56" s="7" t="s">
        <v>5</v>
      </c>
      <c r="F56" s="5" t="s">
        <v>49</v>
      </c>
      <c r="G56" s="8">
        <v>349</v>
      </c>
      <c r="H56" s="9">
        <f t="shared" si="0"/>
        <v>17.45</v>
      </c>
      <c r="I56" s="9">
        <f t="shared" si="1"/>
        <v>43.625</v>
      </c>
      <c r="J56" s="9">
        <f t="shared" si="2"/>
        <v>38.39</v>
      </c>
      <c r="K56" s="8">
        <f t="shared" si="3"/>
        <v>448.46499999999997</v>
      </c>
      <c r="L56" s="10">
        <v>1</v>
      </c>
      <c r="M56" s="8">
        <f t="shared" si="4"/>
        <v>448.46499999999997</v>
      </c>
      <c r="N56" s="8">
        <f t="shared" si="5"/>
        <v>67.269749999999988</v>
      </c>
      <c r="O56" s="8">
        <f t="shared" si="6"/>
        <v>381.19524999999999</v>
      </c>
    </row>
    <row r="57" spans="1:15" x14ac:dyDescent="0.25">
      <c r="A57" s="4">
        <v>45321</v>
      </c>
      <c r="B57" s="4" t="s">
        <v>81</v>
      </c>
      <c r="C57" s="5" t="s">
        <v>14</v>
      </c>
      <c r="D57" s="6" t="s">
        <v>55</v>
      </c>
      <c r="E57" s="7" t="s">
        <v>56</v>
      </c>
      <c r="F57" s="5" t="s">
        <v>58</v>
      </c>
      <c r="G57" s="8">
        <v>350</v>
      </c>
      <c r="H57" s="9">
        <f t="shared" si="0"/>
        <v>17.5</v>
      </c>
      <c r="I57" s="9">
        <f t="shared" si="1"/>
        <v>43.75</v>
      </c>
      <c r="J57" s="9">
        <f t="shared" si="2"/>
        <v>38.5</v>
      </c>
      <c r="K57" s="8">
        <f t="shared" si="3"/>
        <v>449.75</v>
      </c>
      <c r="L57" s="10">
        <v>1</v>
      </c>
      <c r="M57" s="8">
        <f t="shared" si="4"/>
        <v>449.75</v>
      </c>
      <c r="N57" s="8">
        <f t="shared" si="5"/>
        <v>67.462499999999991</v>
      </c>
      <c r="O57" s="8">
        <f t="shared" si="6"/>
        <v>382.28750000000002</v>
      </c>
    </row>
    <row r="58" spans="1:15" x14ac:dyDescent="0.25">
      <c r="A58" s="4">
        <v>45583</v>
      </c>
      <c r="B58" s="4" t="s">
        <v>83</v>
      </c>
      <c r="C58" s="5" t="s">
        <v>22</v>
      </c>
      <c r="D58" s="6" t="s">
        <v>23</v>
      </c>
      <c r="E58" s="7" t="s">
        <v>24</v>
      </c>
      <c r="F58" s="5" t="s">
        <v>58</v>
      </c>
      <c r="G58" s="8">
        <v>369</v>
      </c>
      <c r="H58" s="9">
        <f t="shared" si="0"/>
        <v>18.45</v>
      </c>
      <c r="I58" s="9">
        <f t="shared" si="1"/>
        <v>46.125</v>
      </c>
      <c r="J58" s="9">
        <f t="shared" si="2"/>
        <v>40.590000000000003</v>
      </c>
      <c r="K58" s="8">
        <f t="shared" si="3"/>
        <v>474.16499999999996</v>
      </c>
      <c r="L58" s="10">
        <v>5</v>
      </c>
      <c r="M58" s="8">
        <f t="shared" si="4"/>
        <v>2370.8249999999998</v>
      </c>
      <c r="N58" s="8">
        <f t="shared" si="5"/>
        <v>355.62374999999997</v>
      </c>
      <c r="O58" s="8">
        <f t="shared" si="6"/>
        <v>2015.2012499999998</v>
      </c>
    </row>
    <row r="59" spans="1:15" x14ac:dyDescent="0.25">
      <c r="A59" s="4">
        <v>45437</v>
      </c>
      <c r="B59" s="4" t="s">
        <v>85</v>
      </c>
      <c r="C59" s="5" t="s">
        <v>3</v>
      </c>
      <c r="D59" s="6" t="s">
        <v>4</v>
      </c>
      <c r="E59" s="7" t="s">
        <v>5</v>
      </c>
      <c r="F59" s="5" t="s">
        <v>50</v>
      </c>
      <c r="G59" s="8">
        <v>31.9</v>
      </c>
      <c r="H59" s="9">
        <f t="shared" si="0"/>
        <v>1.595</v>
      </c>
      <c r="I59" s="9">
        <f t="shared" si="1"/>
        <v>3.9874999999999998</v>
      </c>
      <c r="J59" s="9">
        <f t="shared" si="2"/>
        <v>3.5089999999999999</v>
      </c>
      <c r="K59" s="8">
        <f t="shared" si="3"/>
        <v>40.991499999999995</v>
      </c>
      <c r="L59" s="10">
        <v>2</v>
      </c>
      <c r="M59" s="8">
        <f t="shared" si="4"/>
        <v>81.98299999999999</v>
      </c>
      <c r="N59" s="8">
        <f t="shared" si="5"/>
        <v>12.297449999999998</v>
      </c>
      <c r="O59" s="8">
        <f t="shared" si="6"/>
        <v>69.685549999999992</v>
      </c>
    </row>
    <row r="60" spans="1:15" x14ac:dyDescent="0.25">
      <c r="A60" s="4">
        <v>45444</v>
      </c>
      <c r="B60" s="4" t="s">
        <v>80</v>
      </c>
      <c r="C60" s="5" t="s">
        <v>14</v>
      </c>
      <c r="D60" s="6" t="s">
        <v>15</v>
      </c>
      <c r="E60" s="7" t="s">
        <v>16</v>
      </c>
      <c r="F60" s="5" t="s">
        <v>51</v>
      </c>
      <c r="G60" s="8">
        <v>299</v>
      </c>
      <c r="H60" s="9">
        <f t="shared" si="0"/>
        <v>14.950000000000001</v>
      </c>
      <c r="I60" s="9">
        <f t="shared" si="1"/>
        <v>37.375</v>
      </c>
      <c r="J60" s="9">
        <f t="shared" si="2"/>
        <v>32.89</v>
      </c>
      <c r="K60" s="8">
        <f t="shared" si="3"/>
        <v>384.21499999999997</v>
      </c>
      <c r="L60" s="10">
        <v>5</v>
      </c>
      <c r="M60" s="8">
        <f t="shared" si="4"/>
        <v>1921.0749999999998</v>
      </c>
      <c r="N60" s="8">
        <f t="shared" si="5"/>
        <v>288.16124999999994</v>
      </c>
      <c r="O60" s="8">
        <f t="shared" si="6"/>
        <v>1632.9137499999999</v>
      </c>
    </row>
    <row r="61" spans="1:15" x14ac:dyDescent="0.25">
      <c r="A61" s="4">
        <v>45336</v>
      </c>
      <c r="B61" s="4" t="s">
        <v>91</v>
      </c>
      <c r="C61" s="5" t="s">
        <v>22</v>
      </c>
      <c r="D61" s="6" t="s">
        <v>23</v>
      </c>
      <c r="E61" s="7" t="s">
        <v>24</v>
      </c>
      <c r="F61" s="5" t="s">
        <v>59</v>
      </c>
      <c r="G61" s="8">
        <v>3499</v>
      </c>
      <c r="H61" s="9">
        <f t="shared" si="0"/>
        <v>174.95000000000002</v>
      </c>
      <c r="I61" s="9">
        <f t="shared" si="1"/>
        <v>437.375</v>
      </c>
      <c r="J61" s="9">
        <f t="shared" si="2"/>
        <v>384.89</v>
      </c>
      <c r="K61" s="8">
        <f t="shared" si="3"/>
        <v>4496.2150000000001</v>
      </c>
      <c r="L61" s="10">
        <v>1</v>
      </c>
      <c r="M61" s="8">
        <f t="shared" si="4"/>
        <v>4496.2150000000001</v>
      </c>
      <c r="N61" s="8">
        <f t="shared" si="5"/>
        <v>674.43224999999995</v>
      </c>
      <c r="O61" s="8">
        <f t="shared" si="6"/>
        <v>3821.7827500000003</v>
      </c>
    </row>
    <row r="62" spans="1:15" x14ac:dyDescent="0.25">
      <c r="A62" s="4">
        <v>45569</v>
      </c>
      <c r="B62" s="4" t="s">
        <v>83</v>
      </c>
      <c r="C62" s="5" t="s">
        <v>7</v>
      </c>
      <c r="D62" s="6" t="s">
        <v>8</v>
      </c>
      <c r="E62" s="7" t="s">
        <v>9</v>
      </c>
      <c r="F62" s="5" t="s">
        <v>59</v>
      </c>
      <c r="G62" s="8">
        <v>3499</v>
      </c>
      <c r="H62" s="9">
        <f t="shared" si="0"/>
        <v>174.95000000000002</v>
      </c>
      <c r="I62" s="9">
        <f t="shared" si="1"/>
        <v>437.375</v>
      </c>
      <c r="J62" s="9">
        <f t="shared" si="2"/>
        <v>384.89</v>
      </c>
      <c r="K62" s="8">
        <f t="shared" si="3"/>
        <v>4496.2150000000001</v>
      </c>
      <c r="L62" s="10">
        <v>1</v>
      </c>
      <c r="M62" s="8">
        <f t="shared" si="4"/>
        <v>4496.2150000000001</v>
      </c>
      <c r="N62" s="8">
        <f t="shared" si="5"/>
        <v>674.43224999999995</v>
      </c>
      <c r="O62" s="8">
        <f t="shared" si="6"/>
        <v>3821.7827500000003</v>
      </c>
    </row>
    <row r="63" spans="1:15" x14ac:dyDescent="0.25">
      <c r="A63" s="4">
        <v>45554</v>
      </c>
      <c r="B63" s="4" t="s">
        <v>89</v>
      </c>
      <c r="C63" s="5" t="s">
        <v>14</v>
      </c>
      <c r="D63" s="6" t="s">
        <v>53</v>
      </c>
      <c r="E63" s="7" t="s">
        <v>54</v>
      </c>
      <c r="F63" s="5" t="s">
        <v>27</v>
      </c>
      <c r="G63" s="8">
        <v>7999</v>
      </c>
      <c r="H63" s="9">
        <f t="shared" si="0"/>
        <v>399.95000000000005</v>
      </c>
      <c r="I63" s="9">
        <f t="shared" si="1"/>
        <v>999.875</v>
      </c>
      <c r="J63" s="9">
        <f t="shared" si="2"/>
        <v>879.89</v>
      </c>
      <c r="K63" s="8">
        <f t="shared" si="3"/>
        <v>10278.715</v>
      </c>
      <c r="L63" s="10">
        <v>1</v>
      </c>
      <c r="M63" s="8">
        <f t="shared" si="4"/>
        <v>10278.715</v>
      </c>
      <c r="N63" s="8">
        <f t="shared" si="5"/>
        <v>1541.8072500000001</v>
      </c>
      <c r="O63" s="8">
        <f t="shared" si="6"/>
        <v>8736.9077500000003</v>
      </c>
    </row>
    <row r="64" spans="1:15" x14ac:dyDescent="0.25">
      <c r="A64" s="4">
        <v>45585</v>
      </c>
      <c r="B64" s="4" t="s">
        <v>83</v>
      </c>
      <c r="C64" s="5" t="s">
        <v>22</v>
      </c>
      <c r="D64" s="6" t="s">
        <v>23</v>
      </c>
      <c r="E64" s="7" t="s">
        <v>24</v>
      </c>
      <c r="F64" s="5" t="s">
        <v>27</v>
      </c>
      <c r="G64" s="8">
        <v>6000</v>
      </c>
      <c r="H64" s="9">
        <f t="shared" si="0"/>
        <v>300</v>
      </c>
      <c r="I64" s="9">
        <f t="shared" si="1"/>
        <v>750</v>
      </c>
      <c r="J64" s="9">
        <f t="shared" si="2"/>
        <v>660</v>
      </c>
      <c r="K64" s="8">
        <f t="shared" si="3"/>
        <v>7710</v>
      </c>
      <c r="L64" s="10">
        <v>2</v>
      </c>
      <c r="M64" s="8">
        <f t="shared" si="4"/>
        <v>15420</v>
      </c>
      <c r="N64" s="8">
        <f t="shared" si="5"/>
        <v>2313</v>
      </c>
      <c r="O64" s="8">
        <f t="shared" si="6"/>
        <v>13107</v>
      </c>
    </row>
    <row r="65" spans="1:15" x14ac:dyDescent="0.25">
      <c r="A65" s="4">
        <v>45477</v>
      </c>
      <c r="B65" s="4" t="s">
        <v>87</v>
      </c>
      <c r="C65" s="5" t="s">
        <v>14</v>
      </c>
      <c r="D65" s="6" t="s">
        <v>15</v>
      </c>
      <c r="E65" s="7" t="s">
        <v>16</v>
      </c>
      <c r="F65" s="5" t="s">
        <v>30</v>
      </c>
      <c r="G65" s="8">
        <v>5299</v>
      </c>
      <c r="H65" s="9">
        <f t="shared" si="0"/>
        <v>264.95</v>
      </c>
      <c r="I65" s="9">
        <f t="shared" si="1"/>
        <v>662.375</v>
      </c>
      <c r="J65" s="9">
        <f t="shared" si="2"/>
        <v>582.89</v>
      </c>
      <c r="K65" s="8">
        <f t="shared" si="3"/>
        <v>6809.2150000000001</v>
      </c>
      <c r="L65" s="10">
        <v>5</v>
      </c>
      <c r="M65" s="8">
        <f t="shared" si="4"/>
        <v>34046.074999999997</v>
      </c>
      <c r="N65" s="8">
        <f t="shared" si="5"/>
        <v>5106.9112499999992</v>
      </c>
      <c r="O65" s="8">
        <f t="shared" si="6"/>
        <v>28939.16375</v>
      </c>
    </row>
    <row r="66" spans="1:15" x14ac:dyDescent="0.25">
      <c r="A66" s="4">
        <v>45413</v>
      </c>
      <c r="B66" s="4" t="s">
        <v>85</v>
      </c>
      <c r="C66" s="5" t="s">
        <v>7</v>
      </c>
      <c r="D66" s="6" t="s">
        <v>18</v>
      </c>
      <c r="E66" s="7" t="s">
        <v>19</v>
      </c>
      <c r="F66" s="5" t="s">
        <v>30</v>
      </c>
      <c r="G66" s="8">
        <v>5299</v>
      </c>
      <c r="H66" s="9">
        <f t="shared" si="0"/>
        <v>264.95</v>
      </c>
      <c r="I66" s="9">
        <f t="shared" si="1"/>
        <v>662.375</v>
      </c>
      <c r="J66" s="9">
        <f t="shared" si="2"/>
        <v>582.89</v>
      </c>
      <c r="K66" s="8">
        <f t="shared" si="3"/>
        <v>6809.2150000000001</v>
      </c>
      <c r="L66" s="10">
        <v>4</v>
      </c>
      <c r="M66" s="8">
        <f t="shared" si="4"/>
        <v>27236.86</v>
      </c>
      <c r="N66" s="8">
        <f t="shared" si="5"/>
        <v>4085.529</v>
      </c>
      <c r="O66" s="8">
        <f t="shared" si="6"/>
        <v>23151.331000000002</v>
      </c>
    </row>
    <row r="67" spans="1:15" x14ac:dyDescent="0.25">
      <c r="A67" s="4">
        <v>45302</v>
      </c>
      <c r="B67" s="4" t="s">
        <v>81</v>
      </c>
      <c r="C67" s="5" t="s">
        <v>7</v>
      </c>
      <c r="D67" s="6" t="s">
        <v>8</v>
      </c>
      <c r="E67" s="7" t="s">
        <v>9</v>
      </c>
      <c r="F67" s="5" t="s">
        <v>31</v>
      </c>
      <c r="G67" s="8">
        <v>5999</v>
      </c>
      <c r="H67" s="9">
        <f t="shared" ref="H67:H130" si="7">G67*5%</f>
        <v>299.95</v>
      </c>
      <c r="I67" s="9">
        <f t="shared" ref="I67:I130" si="8">G67*12.5%</f>
        <v>749.875</v>
      </c>
      <c r="J67" s="9">
        <f t="shared" ref="J67:J130" si="9">G67*11%</f>
        <v>659.89</v>
      </c>
      <c r="K67" s="8">
        <f t="shared" ref="K67:K130" si="10">SUM(G67:J67)</f>
        <v>7708.7150000000001</v>
      </c>
      <c r="L67" s="10">
        <v>1</v>
      </c>
      <c r="M67" s="8">
        <f t="shared" ref="M67:M130" si="11">K67*L67</f>
        <v>7708.7150000000001</v>
      </c>
      <c r="N67" s="8">
        <f t="shared" ref="N67:N130" si="12">M67*15%</f>
        <v>1156.3072500000001</v>
      </c>
      <c r="O67" s="8">
        <f t="shared" ref="O67:O130" si="13">M67-N67</f>
        <v>6552.4077500000003</v>
      </c>
    </row>
    <row r="68" spans="1:15" x14ac:dyDescent="0.25">
      <c r="A68" s="4">
        <v>45305</v>
      </c>
      <c r="B68" s="4" t="s">
        <v>81</v>
      </c>
      <c r="C68" s="5" t="s">
        <v>14</v>
      </c>
      <c r="D68" s="6" t="s">
        <v>53</v>
      </c>
      <c r="E68" s="7" t="s">
        <v>54</v>
      </c>
      <c r="F68" s="5" t="s">
        <v>60</v>
      </c>
      <c r="G68" s="8">
        <v>2699</v>
      </c>
      <c r="H68" s="9">
        <f t="shared" si="7"/>
        <v>134.95000000000002</v>
      </c>
      <c r="I68" s="9">
        <f t="shared" si="8"/>
        <v>337.375</v>
      </c>
      <c r="J68" s="9">
        <f t="shared" si="9"/>
        <v>296.89</v>
      </c>
      <c r="K68" s="8">
        <f t="shared" si="10"/>
        <v>3468.2149999999997</v>
      </c>
      <c r="L68" s="10">
        <v>6</v>
      </c>
      <c r="M68" s="8">
        <f t="shared" si="11"/>
        <v>20809.289999999997</v>
      </c>
      <c r="N68" s="8">
        <f t="shared" si="12"/>
        <v>3121.3934999999997</v>
      </c>
      <c r="O68" s="8">
        <f t="shared" si="13"/>
        <v>17687.896499999999</v>
      </c>
    </row>
    <row r="69" spans="1:15" x14ac:dyDescent="0.25">
      <c r="A69" s="4">
        <v>45507</v>
      </c>
      <c r="B69" s="4" t="s">
        <v>82</v>
      </c>
      <c r="C69" s="5" t="s">
        <v>3</v>
      </c>
      <c r="D69" s="6" t="s">
        <v>44</v>
      </c>
      <c r="E69" s="7" t="s">
        <v>45</v>
      </c>
      <c r="F69" s="5" t="s">
        <v>60</v>
      </c>
      <c r="G69" s="8">
        <v>2699</v>
      </c>
      <c r="H69" s="9">
        <f t="shared" si="7"/>
        <v>134.95000000000002</v>
      </c>
      <c r="I69" s="9">
        <f t="shared" si="8"/>
        <v>337.375</v>
      </c>
      <c r="J69" s="9">
        <f t="shared" si="9"/>
        <v>296.89</v>
      </c>
      <c r="K69" s="8">
        <f t="shared" si="10"/>
        <v>3468.2149999999997</v>
      </c>
      <c r="L69" s="10">
        <v>8</v>
      </c>
      <c r="M69" s="8">
        <f t="shared" si="11"/>
        <v>27745.719999999998</v>
      </c>
      <c r="N69" s="8">
        <f t="shared" si="12"/>
        <v>4161.8579999999993</v>
      </c>
      <c r="O69" s="8">
        <f t="shared" si="13"/>
        <v>23583.861999999997</v>
      </c>
    </row>
    <row r="70" spans="1:15" x14ac:dyDescent="0.25">
      <c r="A70" s="4">
        <v>45293</v>
      </c>
      <c r="B70" s="4" t="s">
        <v>81</v>
      </c>
      <c r="C70" s="5" t="s">
        <v>10</v>
      </c>
      <c r="D70" s="6" t="s">
        <v>11</v>
      </c>
      <c r="E70" s="7" t="s">
        <v>12</v>
      </c>
      <c r="F70" s="5" t="s">
        <v>35</v>
      </c>
      <c r="G70" s="8">
        <v>550</v>
      </c>
      <c r="H70" s="9">
        <f t="shared" si="7"/>
        <v>27.5</v>
      </c>
      <c r="I70" s="9">
        <f t="shared" si="8"/>
        <v>68.75</v>
      </c>
      <c r="J70" s="9">
        <f t="shared" si="9"/>
        <v>60.5</v>
      </c>
      <c r="K70" s="8">
        <f t="shared" si="10"/>
        <v>706.75</v>
      </c>
      <c r="L70" s="10">
        <v>1</v>
      </c>
      <c r="M70" s="8">
        <f t="shared" si="11"/>
        <v>706.75</v>
      </c>
      <c r="N70" s="8">
        <f t="shared" si="12"/>
        <v>106.0125</v>
      </c>
      <c r="O70" s="8">
        <f t="shared" si="13"/>
        <v>600.73749999999995</v>
      </c>
    </row>
    <row r="71" spans="1:15" x14ac:dyDescent="0.25">
      <c r="A71" s="4">
        <v>45538</v>
      </c>
      <c r="B71" s="4" t="s">
        <v>89</v>
      </c>
      <c r="C71" s="5" t="s">
        <v>7</v>
      </c>
      <c r="D71" s="6" t="s">
        <v>18</v>
      </c>
      <c r="E71" s="7" t="s">
        <v>19</v>
      </c>
      <c r="F71" s="5" t="s">
        <v>61</v>
      </c>
      <c r="G71" s="8">
        <v>279</v>
      </c>
      <c r="H71" s="9">
        <f t="shared" si="7"/>
        <v>13.950000000000001</v>
      </c>
      <c r="I71" s="9">
        <f t="shared" si="8"/>
        <v>34.875</v>
      </c>
      <c r="J71" s="9">
        <f t="shared" si="9"/>
        <v>30.69</v>
      </c>
      <c r="K71" s="8">
        <f t="shared" si="10"/>
        <v>358.51499999999999</v>
      </c>
      <c r="L71" s="10">
        <v>3</v>
      </c>
      <c r="M71" s="8">
        <f t="shared" si="11"/>
        <v>1075.5450000000001</v>
      </c>
      <c r="N71" s="8">
        <f t="shared" si="12"/>
        <v>161.33175</v>
      </c>
      <c r="O71" s="8">
        <f t="shared" si="13"/>
        <v>914.21325000000002</v>
      </c>
    </row>
    <row r="72" spans="1:15" x14ac:dyDescent="0.25">
      <c r="A72" s="4">
        <v>45534</v>
      </c>
      <c r="B72" s="4" t="s">
        <v>82</v>
      </c>
      <c r="C72" s="5" t="s">
        <v>7</v>
      </c>
      <c r="D72" s="6" t="s">
        <v>8</v>
      </c>
      <c r="E72" s="7" t="s">
        <v>9</v>
      </c>
      <c r="F72" s="5" t="s">
        <v>36</v>
      </c>
      <c r="G72" s="8">
        <v>499</v>
      </c>
      <c r="H72" s="9">
        <f t="shared" si="7"/>
        <v>24.950000000000003</v>
      </c>
      <c r="I72" s="9">
        <f t="shared" si="8"/>
        <v>62.375</v>
      </c>
      <c r="J72" s="9">
        <f t="shared" si="9"/>
        <v>54.89</v>
      </c>
      <c r="K72" s="8">
        <f t="shared" si="10"/>
        <v>641.21500000000003</v>
      </c>
      <c r="L72" s="10">
        <v>4</v>
      </c>
      <c r="M72" s="8">
        <f t="shared" si="11"/>
        <v>2564.86</v>
      </c>
      <c r="N72" s="8">
        <f t="shared" si="12"/>
        <v>384.72899999999998</v>
      </c>
      <c r="O72" s="8">
        <f t="shared" si="13"/>
        <v>2180.1310000000003</v>
      </c>
    </row>
    <row r="73" spans="1:15" x14ac:dyDescent="0.25">
      <c r="A73" s="4">
        <v>45513</v>
      </c>
      <c r="B73" s="4" t="s">
        <v>82</v>
      </c>
      <c r="C73" s="5" t="s">
        <v>3</v>
      </c>
      <c r="D73" s="6" t="s">
        <v>4</v>
      </c>
      <c r="E73" s="7" t="s">
        <v>5</v>
      </c>
      <c r="F73" s="5" t="s">
        <v>37</v>
      </c>
      <c r="G73" s="8">
        <v>299</v>
      </c>
      <c r="H73" s="9">
        <f t="shared" si="7"/>
        <v>14.950000000000001</v>
      </c>
      <c r="I73" s="9">
        <f t="shared" si="8"/>
        <v>37.375</v>
      </c>
      <c r="J73" s="9">
        <f t="shared" si="9"/>
        <v>32.89</v>
      </c>
      <c r="K73" s="8">
        <f t="shared" si="10"/>
        <v>384.21499999999997</v>
      </c>
      <c r="L73" s="10">
        <v>8</v>
      </c>
      <c r="M73" s="8">
        <f t="shared" si="11"/>
        <v>3073.72</v>
      </c>
      <c r="N73" s="8">
        <f t="shared" si="12"/>
        <v>461.05799999999994</v>
      </c>
      <c r="O73" s="8">
        <f t="shared" si="13"/>
        <v>2612.6619999999998</v>
      </c>
    </row>
    <row r="74" spans="1:15" x14ac:dyDescent="0.25">
      <c r="A74" s="4">
        <v>45390</v>
      </c>
      <c r="B74" s="4" t="s">
        <v>84</v>
      </c>
      <c r="C74" s="5" t="s">
        <v>10</v>
      </c>
      <c r="D74" s="6" t="s">
        <v>62</v>
      </c>
      <c r="E74" s="7" t="s">
        <v>63</v>
      </c>
      <c r="F74" s="5" t="s">
        <v>64</v>
      </c>
      <c r="G74" s="8">
        <v>419</v>
      </c>
      <c r="H74" s="9">
        <f t="shared" si="7"/>
        <v>20.950000000000003</v>
      </c>
      <c r="I74" s="9">
        <f t="shared" si="8"/>
        <v>52.375</v>
      </c>
      <c r="J74" s="9">
        <f t="shared" si="9"/>
        <v>46.09</v>
      </c>
      <c r="K74" s="8">
        <f t="shared" si="10"/>
        <v>538.41499999999996</v>
      </c>
      <c r="L74" s="10">
        <v>7</v>
      </c>
      <c r="M74" s="8">
        <f t="shared" si="11"/>
        <v>3768.9049999999997</v>
      </c>
      <c r="N74" s="8">
        <f t="shared" si="12"/>
        <v>565.33574999999996</v>
      </c>
      <c r="O74" s="8">
        <f t="shared" si="13"/>
        <v>3203.5692499999996</v>
      </c>
    </row>
    <row r="75" spans="1:15" x14ac:dyDescent="0.25">
      <c r="A75" s="4">
        <v>45489</v>
      </c>
      <c r="B75" s="4" t="s">
        <v>87</v>
      </c>
      <c r="C75" s="5" t="s">
        <v>7</v>
      </c>
      <c r="D75" s="6" t="s">
        <v>18</v>
      </c>
      <c r="E75" s="7" t="s">
        <v>19</v>
      </c>
      <c r="F75" s="5" t="s">
        <v>47</v>
      </c>
      <c r="G75" s="8">
        <v>1299</v>
      </c>
      <c r="H75" s="9">
        <f t="shared" si="7"/>
        <v>64.95</v>
      </c>
      <c r="I75" s="9">
        <f t="shared" si="8"/>
        <v>162.375</v>
      </c>
      <c r="J75" s="9">
        <f t="shared" si="9"/>
        <v>142.89000000000001</v>
      </c>
      <c r="K75" s="8">
        <f t="shared" si="10"/>
        <v>1669.2150000000001</v>
      </c>
      <c r="L75" s="10">
        <v>6</v>
      </c>
      <c r="M75" s="8">
        <f t="shared" si="11"/>
        <v>10015.290000000001</v>
      </c>
      <c r="N75" s="8">
        <f t="shared" si="12"/>
        <v>1502.2935</v>
      </c>
      <c r="O75" s="8">
        <f t="shared" si="13"/>
        <v>8512.9965000000011</v>
      </c>
    </row>
    <row r="76" spans="1:15" x14ac:dyDescent="0.25">
      <c r="A76" s="4">
        <v>45565</v>
      </c>
      <c r="B76" s="4" t="s">
        <v>89</v>
      </c>
      <c r="C76" s="5" t="s">
        <v>14</v>
      </c>
      <c r="D76" s="6" t="s">
        <v>15</v>
      </c>
      <c r="E76" s="7" t="s">
        <v>16</v>
      </c>
      <c r="F76" s="5" t="s">
        <v>48</v>
      </c>
      <c r="G76" s="8">
        <v>199.9</v>
      </c>
      <c r="H76" s="9">
        <f t="shared" si="7"/>
        <v>9.995000000000001</v>
      </c>
      <c r="I76" s="9">
        <f t="shared" si="8"/>
        <v>24.987500000000001</v>
      </c>
      <c r="J76" s="9">
        <f t="shared" si="9"/>
        <v>21.989000000000001</v>
      </c>
      <c r="K76" s="8">
        <f t="shared" si="10"/>
        <v>256.87150000000003</v>
      </c>
      <c r="L76" s="10">
        <v>6</v>
      </c>
      <c r="M76" s="8">
        <f t="shared" si="11"/>
        <v>1541.2290000000003</v>
      </c>
      <c r="N76" s="8">
        <f t="shared" si="12"/>
        <v>231.18435000000002</v>
      </c>
      <c r="O76" s="8">
        <f t="shared" si="13"/>
        <v>1310.0446500000003</v>
      </c>
    </row>
    <row r="77" spans="1:15" x14ac:dyDescent="0.25">
      <c r="A77" s="4">
        <v>45501</v>
      </c>
      <c r="B77" s="4" t="s">
        <v>87</v>
      </c>
      <c r="C77" s="5" t="s">
        <v>14</v>
      </c>
      <c r="D77" s="6" t="s">
        <v>55</v>
      </c>
      <c r="E77" s="7" t="s">
        <v>56</v>
      </c>
      <c r="F77" s="5" t="s">
        <v>48</v>
      </c>
      <c r="G77" s="8">
        <v>199.9</v>
      </c>
      <c r="H77" s="9">
        <f t="shared" si="7"/>
        <v>9.995000000000001</v>
      </c>
      <c r="I77" s="9">
        <f t="shared" si="8"/>
        <v>24.987500000000001</v>
      </c>
      <c r="J77" s="9">
        <f t="shared" si="9"/>
        <v>21.989000000000001</v>
      </c>
      <c r="K77" s="8">
        <f t="shared" si="10"/>
        <v>256.87150000000003</v>
      </c>
      <c r="L77" s="10">
        <v>2</v>
      </c>
      <c r="M77" s="8">
        <f t="shared" si="11"/>
        <v>513.74300000000005</v>
      </c>
      <c r="N77" s="8">
        <f t="shared" si="12"/>
        <v>77.061450000000008</v>
      </c>
      <c r="O77" s="8">
        <f t="shared" si="13"/>
        <v>436.68155000000002</v>
      </c>
    </row>
    <row r="78" spans="1:15" x14ac:dyDescent="0.25">
      <c r="A78" s="4">
        <v>45559</v>
      </c>
      <c r="B78" s="4" t="s">
        <v>89</v>
      </c>
      <c r="C78" s="5" t="s">
        <v>7</v>
      </c>
      <c r="D78" s="6" t="s">
        <v>8</v>
      </c>
      <c r="E78" s="7" t="s">
        <v>9</v>
      </c>
      <c r="F78" s="5" t="s">
        <v>48</v>
      </c>
      <c r="G78" s="8">
        <v>199.9</v>
      </c>
      <c r="H78" s="9">
        <f t="shared" si="7"/>
        <v>9.995000000000001</v>
      </c>
      <c r="I78" s="9">
        <f t="shared" si="8"/>
        <v>24.987500000000001</v>
      </c>
      <c r="J78" s="9">
        <f t="shared" si="9"/>
        <v>21.989000000000001</v>
      </c>
      <c r="K78" s="8">
        <f t="shared" si="10"/>
        <v>256.87150000000003</v>
      </c>
      <c r="L78" s="10">
        <v>7</v>
      </c>
      <c r="M78" s="8">
        <f t="shared" si="11"/>
        <v>1798.1005000000002</v>
      </c>
      <c r="N78" s="8">
        <f t="shared" si="12"/>
        <v>269.71507500000001</v>
      </c>
      <c r="O78" s="8">
        <f t="shared" si="13"/>
        <v>1528.3854250000002</v>
      </c>
    </row>
    <row r="79" spans="1:15" x14ac:dyDescent="0.25">
      <c r="A79" s="4">
        <v>45443</v>
      </c>
      <c r="B79" s="4" t="s">
        <v>85</v>
      </c>
      <c r="C79" s="5" t="s">
        <v>22</v>
      </c>
      <c r="D79" s="6" t="s">
        <v>33</v>
      </c>
      <c r="E79" s="7" t="s">
        <v>34</v>
      </c>
      <c r="F79" s="5" t="s">
        <v>58</v>
      </c>
      <c r="G79" s="8">
        <v>369</v>
      </c>
      <c r="H79" s="9">
        <f t="shared" si="7"/>
        <v>18.45</v>
      </c>
      <c r="I79" s="9">
        <f t="shared" si="8"/>
        <v>46.125</v>
      </c>
      <c r="J79" s="9">
        <f t="shared" si="9"/>
        <v>40.590000000000003</v>
      </c>
      <c r="K79" s="8">
        <f t="shared" si="10"/>
        <v>474.16499999999996</v>
      </c>
      <c r="L79" s="10">
        <v>8</v>
      </c>
      <c r="M79" s="8">
        <f t="shared" si="11"/>
        <v>3793.3199999999997</v>
      </c>
      <c r="N79" s="8">
        <f t="shared" si="12"/>
        <v>568.99799999999993</v>
      </c>
      <c r="O79" s="8">
        <f t="shared" si="13"/>
        <v>3224.3219999999997</v>
      </c>
    </row>
    <row r="80" spans="1:15" x14ac:dyDescent="0.25">
      <c r="A80" s="4">
        <v>45451</v>
      </c>
      <c r="B80" s="4" t="s">
        <v>80</v>
      </c>
      <c r="C80" s="5" t="s">
        <v>3</v>
      </c>
      <c r="D80" s="6" t="s">
        <v>25</v>
      </c>
      <c r="E80" s="7" t="s">
        <v>26</v>
      </c>
      <c r="F80" s="5" t="s">
        <v>51</v>
      </c>
      <c r="G80" s="8">
        <v>299</v>
      </c>
      <c r="H80" s="9">
        <f t="shared" si="7"/>
        <v>14.950000000000001</v>
      </c>
      <c r="I80" s="9">
        <f t="shared" si="8"/>
        <v>37.375</v>
      </c>
      <c r="J80" s="9">
        <f t="shared" si="9"/>
        <v>32.89</v>
      </c>
      <c r="K80" s="8">
        <f t="shared" si="10"/>
        <v>384.21499999999997</v>
      </c>
      <c r="L80" s="10">
        <v>5</v>
      </c>
      <c r="M80" s="8">
        <f t="shared" si="11"/>
        <v>1921.0749999999998</v>
      </c>
      <c r="N80" s="8">
        <f t="shared" si="12"/>
        <v>288.16124999999994</v>
      </c>
      <c r="O80" s="8">
        <f t="shared" si="13"/>
        <v>1632.9137499999999</v>
      </c>
    </row>
    <row r="81" spans="1:15" x14ac:dyDescent="0.25">
      <c r="A81" s="4">
        <v>45557</v>
      </c>
      <c r="B81" s="4" t="s">
        <v>89</v>
      </c>
      <c r="C81" s="5" t="s">
        <v>3</v>
      </c>
      <c r="D81" s="6" t="s">
        <v>25</v>
      </c>
      <c r="E81" s="7" t="s">
        <v>26</v>
      </c>
      <c r="F81" s="5" t="s">
        <v>51</v>
      </c>
      <c r="G81" s="8">
        <v>299</v>
      </c>
      <c r="H81" s="9">
        <f t="shared" si="7"/>
        <v>14.950000000000001</v>
      </c>
      <c r="I81" s="9">
        <f t="shared" si="8"/>
        <v>37.375</v>
      </c>
      <c r="J81" s="9">
        <f t="shared" si="9"/>
        <v>32.89</v>
      </c>
      <c r="K81" s="8">
        <f t="shared" si="10"/>
        <v>384.21499999999997</v>
      </c>
      <c r="L81" s="10">
        <v>5</v>
      </c>
      <c r="M81" s="8">
        <f t="shared" si="11"/>
        <v>1921.0749999999998</v>
      </c>
      <c r="N81" s="8">
        <f t="shared" si="12"/>
        <v>288.16124999999994</v>
      </c>
      <c r="O81" s="8">
        <f t="shared" si="13"/>
        <v>1632.9137499999999</v>
      </c>
    </row>
    <row r="82" spans="1:15" x14ac:dyDescent="0.25">
      <c r="A82" s="4">
        <v>45419</v>
      </c>
      <c r="B82" s="4" t="s">
        <v>85</v>
      </c>
      <c r="C82" s="5" t="s">
        <v>3</v>
      </c>
      <c r="D82" s="6" t="s">
        <v>25</v>
      </c>
      <c r="E82" s="7" t="s">
        <v>26</v>
      </c>
      <c r="F82" s="5" t="s">
        <v>52</v>
      </c>
      <c r="G82" s="8">
        <v>99.9</v>
      </c>
      <c r="H82" s="9">
        <f t="shared" si="7"/>
        <v>4.995000000000001</v>
      </c>
      <c r="I82" s="9">
        <f t="shared" si="8"/>
        <v>12.487500000000001</v>
      </c>
      <c r="J82" s="9">
        <f t="shared" si="9"/>
        <v>10.989000000000001</v>
      </c>
      <c r="K82" s="8">
        <f t="shared" si="10"/>
        <v>128.3715</v>
      </c>
      <c r="L82" s="10">
        <v>3</v>
      </c>
      <c r="M82" s="8">
        <f t="shared" si="11"/>
        <v>385.11450000000002</v>
      </c>
      <c r="N82" s="8">
        <f t="shared" si="12"/>
        <v>57.767175000000002</v>
      </c>
      <c r="O82" s="8">
        <f t="shared" si="13"/>
        <v>327.34732500000001</v>
      </c>
    </row>
    <row r="83" spans="1:15" x14ac:dyDescent="0.25">
      <c r="A83" s="4">
        <v>45518</v>
      </c>
      <c r="B83" s="4" t="s">
        <v>82</v>
      </c>
      <c r="C83" s="5" t="s">
        <v>22</v>
      </c>
      <c r="D83" s="6" t="s">
        <v>33</v>
      </c>
      <c r="E83" s="7" t="s">
        <v>34</v>
      </c>
      <c r="F83" s="5" t="s">
        <v>59</v>
      </c>
      <c r="G83" s="8">
        <v>3499</v>
      </c>
      <c r="H83" s="9">
        <f t="shared" si="7"/>
        <v>174.95000000000002</v>
      </c>
      <c r="I83" s="9">
        <f t="shared" si="8"/>
        <v>437.375</v>
      </c>
      <c r="J83" s="9">
        <f t="shared" si="9"/>
        <v>384.89</v>
      </c>
      <c r="K83" s="8">
        <f t="shared" si="10"/>
        <v>4496.2150000000001</v>
      </c>
      <c r="L83" s="10">
        <v>7</v>
      </c>
      <c r="M83" s="8">
        <f t="shared" si="11"/>
        <v>31473.505000000001</v>
      </c>
      <c r="N83" s="8">
        <f t="shared" si="12"/>
        <v>4721.0257499999998</v>
      </c>
      <c r="O83" s="8">
        <f t="shared" si="13"/>
        <v>26752.47925</v>
      </c>
    </row>
    <row r="84" spans="1:15" x14ac:dyDescent="0.25">
      <c r="A84" s="4">
        <v>45638</v>
      </c>
      <c r="B84" s="4" t="s">
        <v>88</v>
      </c>
      <c r="C84" s="5" t="s">
        <v>22</v>
      </c>
      <c r="D84" s="6" t="s">
        <v>41</v>
      </c>
      <c r="E84" s="7" t="s">
        <v>42</v>
      </c>
      <c r="F84" s="5" t="s">
        <v>59</v>
      </c>
      <c r="G84" s="8">
        <v>3499</v>
      </c>
      <c r="H84" s="9">
        <f t="shared" si="7"/>
        <v>174.95000000000002</v>
      </c>
      <c r="I84" s="9">
        <f t="shared" si="8"/>
        <v>437.375</v>
      </c>
      <c r="J84" s="9">
        <f t="shared" si="9"/>
        <v>384.89</v>
      </c>
      <c r="K84" s="8">
        <f t="shared" si="10"/>
        <v>4496.2150000000001</v>
      </c>
      <c r="L84" s="10">
        <v>8</v>
      </c>
      <c r="M84" s="8">
        <f t="shared" si="11"/>
        <v>35969.72</v>
      </c>
      <c r="N84" s="8">
        <f t="shared" si="12"/>
        <v>5395.4579999999996</v>
      </c>
      <c r="O84" s="8">
        <f t="shared" si="13"/>
        <v>30574.262000000002</v>
      </c>
    </row>
    <row r="85" spans="1:15" x14ac:dyDescent="0.25">
      <c r="A85" s="4">
        <v>45492</v>
      </c>
      <c r="B85" s="4" t="s">
        <v>87</v>
      </c>
      <c r="C85" s="5" t="s">
        <v>7</v>
      </c>
      <c r="D85" s="6" t="s">
        <v>8</v>
      </c>
      <c r="E85" s="7" t="s">
        <v>9</v>
      </c>
      <c r="F85" s="5" t="s">
        <v>52</v>
      </c>
      <c r="G85" s="8">
        <v>99.9</v>
      </c>
      <c r="H85" s="9">
        <f t="shared" si="7"/>
        <v>4.995000000000001</v>
      </c>
      <c r="I85" s="9">
        <f t="shared" si="8"/>
        <v>12.487500000000001</v>
      </c>
      <c r="J85" s="9">
        <f t="shared" si="9"/>
        <v>10.989000000000001</v>
      </c>
      <c r="K85" s="8">
        <f t="shared" si="10"/>
        <v>128.3715</v>
      </c>
      <c r="L85" s="10">
        <v>8</v>
      </c>
      <c r="M85" s="8">
        <f t="shared" si="11"/>
        <v>1026.972</v>
      </c>
      <c r="N85" s="8">
        <f t="shared" si="12"/>
        <v>154.04579999999999</v>
      </c>
      <c r="O85" s="8">
        <f t="shared" si="13"/>
        <v>872.92619999999999</v>
      </c>
    </row>
    <row r="86" spans="1:15" x14ac:dyDescent="0.25">
      <c r="A86" s="4">
        <v>45440</v>
      </c>
      <c r="B86" s="4" t="s">
        <v>85</v>
      </c>
      <c r="C86" s="5" t="s">
        <v>14</v>
      </c>
      <c r="D86" s="6" t="s">
        <v>55</v>
      </c>
      <c r="E86" s="7" t="s">
        <v>56</v>
      </c>
      <c r="F86" s="5" t="s">
        <v>52</v>
      </c>
      <c r="G86" s="8">
        <v>99.9</v>
      </c>
      <c r="H86" s="9">
        <f t="shared" si="7"/>
        <v>4.995000000000001</v>
      </c>
      <c r="I86" s="9">
        <f t="shared" si="8"/>
        <v>12.487500000000001</v>
      </c>
      <c r="J86" s="9">
        <f t="shared" si="9"/>
        <v>10.989000000000001</v>
      </c>
      <c r="K86" s="8">
        <f t="shared" si="10"/>
        <v>128.3715</v>
      </c>
      <c r="L86" s="10">
        <v>7</v>
      </c>
      <c r="M86" s="8">
        <f t="shared" si="11"/>
        <v>898.60050000000001</v>
      </c>
      <c r="N86" s="8">
        <f t="shared" si="12"/>
        <v>134.790075</v>
      </c>
      <c r="O86" s="8">
        <f t="shared" si="13"/>
        <v>763.81042500000001</v>
      </c>
    </row>
    <row r="87" spans="1:15" x14ac:dyDescent="0.25">
      <c r="A87" s="4">
        <v>45492</v>
      </c>
      <c r="B87" s="4" t="s">
        <v>87</v>
      </c>
      <c r="C87" s="5" t="s">
        <v>10</v>
      </c>
      <c r="D87" s="6" t="s">
        <v>11</v>
      </c>
      <c r="E87" s="7" t="s">
        <v>12</v>
      </c>
      <c r="F87" s="5" t="s">
        <v>59</v>
      </c>
      <c r="G87" s="8">
        <v>3499</v>
      </c>
      <c r="H87" s="9">
        <f t="shared" si="7"/>
        <v>174.95000000000002</v>
      </c>
      <c r="I87" s="9">
        <f t="shared" si="8"/>
        <v>437.375</v>
      </c>
      <c r="J87" s="9">
        <f t="shared" si="9"/>
        <v>384.89</v>
      </c>
      <c r="K87" s="8">
        <f t="shared" si="10"/>
        <v>4496.2150000000001</v>
      </c>
      <c r="L87" s="10">
        <v>4</v>
      </c>
      <c r="M87" s="8">
        <f t="shared" si="11"/>
        <v>17984.86</v>
      </c>
      <c r="N87" s="8">
        <f t="shared" si="12"/>
        <v>2697.7289999999998</v>
      </c>
      <c r="O87" s="8">
        <f t="shared" si="13"/>
        <v>15287.131000000001</v>
      </c>
    </row>
    <row r="88" spans="1:15" x14ac:dyDescent="0.25">
      <c r="A88" s="4">
        <v>45432</v>
      </c>
      <c r="B88" s="4" t="s">
        <v>85</v>
      </c>
      <c r="C88" s="5" t="s">
        <v>14</v>
      </c>
      <c r="D88" s="6" t="s">
        <v>55</v>
      </c>
      <c r="E88" s="7" t="s">
        <v>56</v>
      </c>
      <c r="F88" s="5" t="s">
        <v>59</v>
      </c>
      <c r="G88" s="8">
        <v>3499</v>
      </c>
      <c r="H88" s="9">
        <f t="shared" si="7"/>
        <v>174.95000000000002</v>
      </c>
      <c r="I88" s="9">
        <f t="shared" si="8"/>
        <v>437.375</v>
      </c>
      <c r="J88" s="9">
        <f t="shared" si="9"/>
        <v>384.89</v>
      </c>
      <c r="K88" s="8">
        <f t="shared" si="10"/>
        <v>4496.2150000000001</v>
      </c>
      <c r="L88" s="10">
        <v>3</v>
      </c>
      <c r="M88" s="8">
        <f t="shared" si="11"/>
        <v>13488.645</v>
      </c>
      <c r="N88" s="8">
        <f t="shared" si="12"/>
        <v>2023.29675</v>
      </c>
      <c r="O88" s="8">
        <f t="shared" si="13"/>
        <v>11465.348250000001</v>
      </c>
    </row>
    <row r="89" spans="1:15" x14ac:dyDescent="0.25">
      <c r="A89" s="4">
        <v>45374</v>
      </c>
      <c r="B89" s="4" t="s">
        <v>90</v>
      </c>
      <c r="C89" s="5" t="s">
        <v>10</v>
      </c>
      <c r="D89" s="6" t="s">
        <v>62</v>
      </c>
      <c r="E89" s="7" t="s">
        <v>63</v>
      </c>
      <c r="F89" s="5" t="s">
        <v>59</v>
      </c>
      <c r="G89" s="8">
        <v>3499</v>
      </c>
      <c r="H89" s="9">
        <f t="shared" si="7"/>
        <v>174.95000000000002</v>
      </c>
      <c r="I89" s="9">
        <f t="shared" si="8"/>
        <v>437.375</v>
      </c>
      <c r="J89" s="9">
        <f t="shared" si="9"/>
        <v>384.89</v>
      </c>
      <c r="K89" s="8">
        <f t="shared" si="10"/>
        <v>4496.2150000000001</v>
      </c>
      <c r="L89" s="10">
        <v>1</v>
      </c>
      <c r="M89" s="8">
        <f t="shared" si="11"/>
        <v>4496.2150000000001</v>
      </c>
      <c r="N89" s="8">
        <f t="shared" si="12"/>
        <v>674.43224999999995</v>
      </c>
      <c r="O89" s="8">
        <f t="shared" si="13"/>
        <v>3821.7827500000003</v>
      </c>
    </row>
    <row r="90" spans="1:15" x14ac:dyDescent="0.25">
      <c r="A90" s="4">
        <v>45322</v>
      </c>
      <c r="B90" s="4" t="s">
        <v>81</v>
      </c>
      <c r="C90" s="5" t="s">
        <v>22</v>
      </c>
      <c r="D90" s="6" t="s">
        <v>33</v>
      </c>
      <c r="E90" s="7" t="s">
        <v>34</v>
      </c>
      <c r="F90" s="5" t="s">
        <v>27</v>
      </c>
      <c r="G90" s="8">
        <v>7999</v>
      </c>
      <c r="H90" s="9">
        <f t="shared" si="7"/>
        <v>399.95000000000005</v>
      </c>
      <c r="I90" s="9">
        <f t="shared" si="8"/>
        <v>999.875</v>
      </c>
      <c r="J90" s="9">
        <f t="shared" si="9"/>
        <v>879.89</v>
      </c>
      <c r="K90" s="8">
        <f t="shared" si="10"/>
        <v>10278.715</v>
      </c>
      <c r="L90" s="10">
        <v>8</v>
      </c>
      <c r="M90" s="8">
        <f t="shared" si="11"/>
        <v>82229.72</v>
      </c>
      <c r="N90" s="8">
        <f t="shared" si="12"/>
        <v>12334.458000000001</v>
      </c>
      <c r="O90" s="8">
        <f t="shared" si="13"/>
        <v>69895.262000000002</v>
      </c>
    </row>
    <row r="91" spans="1:15" x14ac:dyDescent="0.25">
      <c r="A91" s="4">
        <v>45437</v>
      </c>
      <c r="B91" s="4" t="s">
        <v>85</v>
      </c>
      <c r="C91" s="5" t="s">
        <v>10</v>
      </c>
      <c r="D91" s="6" t="s">
        <v>11</v>
      </c>
      <c r="E91" s="7" t="s">
        <v>12</v>
      </c>
      <c r="F91" s="5" t="s">
        <v>30</v>
      </c>
      <c r="G91" s="8">
        <v>5299</v>
      </c>
      <c r="H91" s="9">
        <f t="shared" si="7"/>
        <v>264.95</v>
      </c>
      <c r="I91" s="9">
        <f t="shared" si="8"/>
        <v>662.375</v>
      </c>
      <c r="J91" s="9">
        <f t="shared" si="9"/>
        <v>582.89</v>
      </c>
      <c r="K91" s="8">
        <f t="shared" si="10"/>
        <v>6809.2150000000001</v>
      </c>
      <c r="L91" s="10">
        <v>4</v>
      </c>
      <c r="M91" s="8">
        <f t="shared" si="11"/>
        <v>27236.86</v>
      </c>
      <c r="N91" s="8">
        <f t="shared" si="12"/>
        <v>4085.529</v>
      </c>
      <c r="O91" s="8">
        <f t="shared" si="13"/>
        <v>23151.331000000002</v>
      </c>
    </row>
    <row r="92" spans="1:15" x14ac:dyDescent="0.25">
      <c r="A92" s="4">
        <v>45645</v>
      </c>
      <c r="B92" s="4" t="s">
        <v>88</v>
      </c>
      <c r="C92" s="5" t="s">
        <v>22</v>
      </c>
      <c r="D92" s="6" t="s">
        <v>41</v>
      </c>
      <c r="E92" s="7" t="s">
        <v>42</v>
      </c>
      <c r="F92" s="5" t="s">
        <v>57</v>
      </c>
      <c r="G92" s="8">
        <v>1299</v>
      </c>
      <c r="H92" s="9">
        <f t="shared" si="7"/>
        <v>64.95</v>
      </c>
      <c r="I92" s="9">
        <f t="shared" si="8"/>
        <v>162.375</v>
      </c>
      <c r="J92" s="9">
        <f t="shared" si="9"/>
        <v>142.89000000000001</v>
      </c>
      <c r="K92" s="8">
        <f t="shared" si="10"/>
        <v>1669.2150000000001</v>
      </c>
      <c r="L92" s="10">
        <v>4</v>
      </c>
      <c r="M92" s="8">
        <f t="shared" si="11"/>
        <v>6676.8600000000006</v>
      </c>
      <c r="N92" s="8">
        <f t="shared" si="12"/>
        <v>1001.529</v>
      </c>
      <c r="O92" s="8">
        <f t="shared" si="13"/>
        <v>5675.3310000000001</v>
      </c>
    </row>
    <row r="93" spans="1:15" x14ac:dyDescent="0.25">
      <c r="A93" s="4">
        <v>45313</v>
      </c>
      <c r="B93" s="4" t="s">
        <v>81</v>
      </c>
      <c r="C93" s="5" t="s">
        <v>10</v>
      </c>
      <c r="D93" s="6" t="s">
        <v>11</v>
      </c>
      <c r="E93" s="7" t="s">
        <v>12</v>
      </c>
      <c r="F93" s="5" t="s">
        <v>64</v>
      </c>
      <c r="G93" s="8">
        <v>419</v>
      </c>
      <c r="H93" s="9">
        <f t="shared" si="7"/>
        <v>20.950000000000003</v>
      </c>
      <c r="I93" s="9">
        <f t="shared" si="8"/>
        <v>52.375</v>
      </c>
      <c r="J93" s="9">
        <f t="shared" si="9"/>
        <v>46.09</v>
      </c>
      <c r="K93" s="8">
        <f t="shared" si="10"/>
        <v>538.41499999999996</v>
      </c>
      <c r="L93" s="10">
        <v>2</v>
      </c>
      <c r="M93" s="8">
        <f t="shared" si="11"/>
        <v>1076.83</v>
      </c>
      <c r="N93" s="8">
        <f t="shared" si="12"/>
        <v>161.52449999999999</v>
      </c>
      <c r="O93" s="8">
        <f t="shared" si="13"/>
        <v>915.30549999999994</v>
      </c>
    </row>
    <row r="94" spans="1:15" x14ac:dyDescent="0.25">
      <c r="A94" s="4">
        <v>45604</v>
      </c>
      <c r="B94" s="4" t="s">
        <v>86</v>
      </c>
      <c r="C94" s="5" t="s">
        <v>14</v>
      </c>
      <c r="D94" s="6" t="s">
        <v>53</v>
      </c>
      <c r="E94" s="7" t="s">
        <v>54</v>
      </c>
      <c r="F94" s="5" t="s">
        <v>47</v>
      </c>
      <c r="G94" s="8">
        <v>1299</v>
      </c>
      <c r="H94" s="9">
        <f t="shared" si="7"/>
        <v>64.95</v>
      </c>
      <c r="I94" s="9">
        <f t="shared" si="8"/>
        <v>162.375</v>
      </c>
      <c r="J94" s="9">
        <f t="shared" si="9"/>
        <v>142.89000000000001</v>
      </c>
      <c r="K94" s="8">
        <f t="shared" si="10"/>
        <v>1669.2150000000001</v>
      </c>
      <c r="L94" s="10">
        <v>8</v>
      </c>
      <c r="M94" s="8">
        <f t="shared" si="11"/>
        <v>13353.720000000001</v>
      </c>
      <c r="N94" s="8">
        <f t="shared" si="12"/>
        <v>2003.058</v>
      </c>
      <c r="O94" s="8">
        <f t="shared" si="13"/>
        <v>11350.662</v>
      </c>
    </row>
    <row r="95" spans="1:15" x14ac:dyDescent="0.25">
      <c r="A95" s="4">
        <v>45391</v>
      </c>
      <c r="B95" s="4" t="s">
        <v>84</v>
      </c>
      <c r="C95" s="5" t="s">
        <v>14</v>
      </c>
      <c r="D95" s="6" t="s">
        <v>55</v>
      </c>
      <c r="E95" s="7" t="s">
        <v>56</v>
      </c>
      <c r="F95" s="5" t="s">
        <v>48</v>
      </c>
      <c r="G95" s="8">
        <v>199.9</v>
      </c>
      <c r="H95" s="9">
        <f t="shared" si="7"/>
        <v>9.995000000000001</v>
      </c>
      <c r="I95" s="9">
        <f t="shared" si="8"/>
        <v>24.987500000000001</v>
      </c>
      <c r="J95" s="9">
        <f t="shared" si="9"/>
        <v>21.989000000000001</v>
      </c>
      <c r="K95" s="8">
        <f t="shared" si="10"/>
        <v>256.87150000000003</v>
      </c>
      <c r="L95" s="10">
        <v>4</v>
      </c>
      <c r="M95" s="8">
        <f t="shared" si="11"/>
        <v>1027.4860000000001</v>
      </c>
      <c r="N95" s="8">
        <f t="shared" si="12"/>
        <v>154.12290000000002</v>
      </c>
      <c r="O95" s="8">
        <f t="shared" si="13"/>
        <v>873.36310000000003</v>
      </c>
    </row>
    <row r="96" spans="1:15" x14ac:dyDescent="0.25">
      <c r="A96" s="4">
        <v>45514</v>
      </c>
      <c r="B96" s="4" t="s">
        <v>82</v>
      </c>
      <c r="C96" s="5" t="s">
        <v>10</v>
      </c>
      <c r="D96" s="6" t="s">
        <v>28</v>
      </c>
      <c r="E96" s="7" t="s">
        <v>29</v>
      </c>
      <c r="F96" s="5" t="s">
        <v>48</v>
      </c>
      <c r="G96" s="8">
        <v>199.9</v>
      </c>
      <c r="H96" s="9">
        <f t="shared" si="7"/>
        <v>9.995000000000001</v>
      </c>
      <c r="I96" s="9">
        <f t="shared" si="8"/>
        <v>24.987500000000001</v>
      </c>
      <c r="J96" s="9">
        <f t="shared" si="9"/>
        <v>21.989000000000001</v>
      </c>
      <c r="K96" s="8">
        <f t="shared" si="10"/>
        <v>256.87150000000003</v>
      </c>
      <c r="L96" s="10">
        <v>4</v>
      </c>
      <c r="M96" s="8">
        <f t="shared" si="11"/>
        <v>1027.4860000000001</v>
      </c>
      <c r="N96" s="8">
        <f t="shared" si="12"/>
        <v>154.12290000000002</v>
      </c>
      <c r="O96" s="8">
        <f t="shared" si="13"/>
        <v>873.36310000000003</v>
      </c>
    </row>
    <row r="97" spans="1:15" x14ac:dyDescent="0.25">
      <c r="A97" s="4">
        <v>45512</v>
      </c>
      <c r="B97" s="4" t="s">
        <v>82</v>
      </c>
      <c r="C97" s="5" t="s">
        <v>10</v>
      </c>
      <c r="D97" s="6" t="s">
        <v>11</v>
      </c>
      <c r="E97" s="7" t="s">
        <v>12</v>
      </c>
      <c r="F97" s="5" t="s">
        <v>49</v>
      </c>
      <c r="G97" s="8">
        <v>349</v>
      </c>
      <c r="H97" s="9">
        <f t="shared" si="7"/>
        <v>17.45</v>
      </c>
      <c r="I97" s="9">
        <f t="shared" si="8"/>
        <v>43.625</v>
      </c>
      <c r="J97" s="9">
        <f t="shared" si="9"/>
        <v>38.39</v>
      </c>
      <c r="K97" s="8">
        <f t="shared" si="10"/>
        <v>448.46499999999997</v>
      </c>
      <c r="L97" s="10">
        <v>5</v>
      </c>
      <c r="M97" s="8">
        <f t="shared" si="11"/>
        <v>2242.3249999999998</v>
      </c>
      <c r="N97" s="8">
        <f t="shared" si="12"/>
        <v>336.34874999999994</v>
      </c>
      <c r="O97" s="8">
        <f t="shared" si="13"/>
        <v>1905.9762499999999</v>
      </c>
    </row>
    <row r="98" spans="1:15" x14ac:dyDescent="0.25">
      <c r="A98" s="4">
        <v>45468</v>
      </c>
      <c r="B98" s="4" t="s">
        <v>80</v>
      </c>
      <c r="C98" s="5" t="s">
        <v>22</v>
      </c>
      <c r="D98" s="6" t="s">
        <v>33</v>
      </c>
      <c r="E98" s="7" t="s">
        <v>34</v>
      </c>
      <c r="F98" s="5" t="s">
        <v>65</v>
      </c>
      <c r="G98" s="8">
        <v>1799</v>
      </c>
      <c r="H98" s="9">
        <f t="shared" si="7"/>
        <v>89.95</v>
      </c>
      <c r="I98" s="9">
        <f t="shared" si="8"/>
        <v>224.875</v>
      </c>
      <c r="J98" s="9">
        <f t="shared" si="9"/>
        <v>197.89000000000001</v>
      </c>
      <c r="K98" s="8">
        <f t="shared" si="10"/>
        <v>2311.7149999999997</v>
      </c>
      <c r="L98" s="10">
        <v>7</v>
      </c>
      <c r="M98" s="8">
        <f t="shared" si="11"/>
        <v>16182.004999999997</v>
      </c>
      <c r="N98" s="8">
        <f t="shared" si="12"/>
        <v>2427.3007499999994</v>
      </c>
      <c r="O98" s="8">
        <f t="shared" si="13"/>
        <v>13754.704249999999</v>
      </c>
    </row>
    <row r="99" spans="1:15" x14ac:dyDescent="0.25">
      <c r="A99" s="4">
        <v>45411</v>
      </c>
      <c r="B99" s="4" t="s">
        <v>84</v>
      </c>
      <c r="C99" s="5" t="s">
        <v>10</v>
      </c>
      <c r="D99" s="6" t="s">
        <v>62</v>
      </c>
      <c r="E99" s="7" t="s">
        <v>63</v>
      </c>
      <c r="F99" s="5" t="s">
        <v>58</v>
      </c>
      <c r="G99" s="8">
        <v>369</v>
      </c>
      <c r="H99" s="9">
        <f t="shared" si="7"/>
        <v>18.45</v>
      </c>
      <c r="I99" s="9">
        <f t="shared" si="8"/>
        <v>46.125</v>
      </c>
      <c r="J99" s="9">
        <f t="shared" si="9"/>
        <v>40.590000000000003</v>
      </c>
      <c r="K99" s="8">
        <f t="shared" si="10"/>
        <v>474.16499999999996</v>
      </c>
      <c r="L99" s="10">
        <v>8</v>
      </c>
      <c r="M99" s="8">
        <f t="shared" si="11"/>
        <v>3793.3199999999997</v>
      </c>
      <c r="N99" s="8">
        <f t="shared" si="12"/>
        <v>568.99799999999993</v>
      </c>
      <c r="O99" s="8">
        <f t="shared" si="13"/>
        <v>3224.3219999999997</v>
      </c>
    </row>
    <row r="100" spans="1:15" x14ac:dyDescent="0.25">
      <c r="A100" s="4">
        <v>45299</v>
      </c>
      <c r="B100" s="4" t="s">
        <v>81</v>
      </c>
      <c r="C100" s="5" t="s">
        <v>10</v>
      </c>
      <c r="D100" s="6" t="s">
        <v>39</v>
      </c>
      <c r="E100" s="7" t="s">
        <v>40</v>
      </c>
      <c r="F100" s="5" t="s">
        <v>58</v>
      </c>
      <c r="G100" s="8">
        <v>350</v>
      </c>
      <c r="H100" s="9">
        <f t="shared" si="7"/>
        <v>17.5</v>
      </c>
      <c r="I100" s="9">
        <f t="shared" si="8"/>
        <v>43.75</v>
      </c>
      <c r="J100" s="9">
        <f t="shared" si="9"/>
        <v>38.5</v>
      </c>
      <c r="K100" s="8">
        <f t="shared" si="10"/>
        <v>449.75</v>
      </c>
      <c r="L100" s="10">
        <v>1</v>
      </c>
      <c r="M100" s="8">
        <f t="shared" si="11"/>
        <v>449.75</v>
      </c>
      <c r="N100" s="8">
        <f t="shared" si="12"/>
        <v>67.462499999999991</v>
      </c>
      <c r="O100" s="8">
        <f t="shared" si="13"/>
        <v>382.28750000000002</v>
      </c>
    </row>
    <row r="101" spans="1:15" x14ac:dyDescent="0.25">
      <c r="A101" s="4">
        <v>45511</v>
      </c>
      <c r="B101" s="4" t="s">
        <v>82</v>
      </c>
      <c r="C101" s="5" t="s">
        <v>10</v>
      </c>
      <c r="D101" s="6" t="s">
        <v>39</v>
      </c>
      <c r="E101" s="7" t="s">
        <v>40</v>
      </c>
      <c r="F101" s="5" t="s">
        <v>50</v>
      </c>
      <c r="G101" s="8">
        <v>31.9</v>
      </c>
      <c r="H101" s="9">
        <f t="shared" si="7"/>
        <v>1.595</v>
      </c>
      <c r="I101" s="9">
        <f t="shared" si="8"/>
        <v>3.9874999999999998</v>
      </c>
      <c r="J101" s="9">
        <f t="shared" si="9"/>
        <v>3.5089999999999999</v>
      </c>
      <c r="K101" s="8">
        <f t="shared" si="10"/>
        <v>40.991499999999995</v>
      </c>
      <c r="L101" s="10">
        <v>8</v>
      </c>
      <c r="M101" s="8">
        <f t="shared" si="11"/>
        <v>327.93199999999996</v>
      </c>
      <c r="N101" s="8">
        <f t="shared" si="12"/>
        <v>49.189799999999991</v>
      </c>
      <c r="O101" s="8">
        <f t="shared" si="13"/>
        <v>278.74219999999997</v>
      </c>
    </row>
    <row r="102" spans="1:15" x14ac:dyDescent="0.25">
      <c r="A102" s="4">
        <v>45600</v>
      </c>
      <c r="B102" s="4" t="s">
        <v>86</v>
      </c>
      <c r="C102" s="5" t="s">
        <v>22</v>
      </c>
      <c r="D102" s="6" t="s">
        <v>23</v>
      </c>
      <c r="E102" s="7" t="s">
        <v>24</v>
      </c>
      <c r="F102" s="5" t="s">
        <v>51</v>
      </c>
      <c r="G102" s="8">
        <v>299</v>
      </c>
      <c r="H102" s="9">
        <f t="shared" si="7"/>
        <v>14.950000000000001</v>
      </c>
      <c r="I102" s="9">
        <f t="shared" si="8"/>
        <v>37.375</v>
      </c>
      <c r="J102" s="9">
        <f t="shared" si="9"/>
        <v>32.89</v>
      </c>
      <c r="K102" s="8">
        <f t="shared" si="10"/>
        <v>384.21499999999997</v>
      </c>
      <c r="L102" s="10">
        <v>1</v>
      </c>
      <c r="M102" s="8">
        <f t="shared" si="11"/>
        <v>384.21499999999997</v>
      </c>
      <c r="N102" s="8">
        <f t="shared" si="12"/>
        <v>57.632249999999992</v>
      </c>
      <c r="O102" s="8">
        <f t="shared" si="13"/>
        <v>326.58274999999998</v>
      </c>
    </row>
    <row r="103" spans="1:15" x14ac:dyDescent="0.25">
      <c r="A103" s="4">
        <v>45584</v>
      </c>
      <c r="B103" s="4" t="s">
        <v>83</v>
      </c>
      <c r="C103" s="5" t="s">
        <v>3</v>
      </c>
      <c r="D103" s="6" t="s">
        <v>44</v>
      </c>
      <c r="E103" s="7" t="s">
        <v>45</v>
      </c>
      <c r="F103" s="5" t="s">
        <v>52</v>
      </c>
      <c r="G103" s="8">
        <v>99.9</v>
      </c>
      <c r="H103" s="9">
        <f t="shared" si="7"/>
        <v>4.995000000000001</v>
      </c>
      <c r="I103" s="9">
        <f t="shared" si="8"/>
        <v>12.487500000000001</v>
      </c>
      <c r="J103" s="9">
        <f t="shared" si="9"/>
        <v>10.989000000000001</v>
      </c>
      <c r="K103" s="8">
        <f t="shared" si="10"/>
        <v>128.3715</v>
      </c>
      <c r="L103" s="10">
        <v>5</v>
      </c>
      <c r="M103" s="8">
        <f t="shared" si="11"/>
        <v>641.85749999999996</v>
      </c>
      <c r="N103" s="8">
        <f t="shared" si="12"/>
        <v>96.278624999999991</v>
      </c>
      <c r="O103" s="8">
        <f t="shared" si="13"/>
        <v>545.57887499999993</v>
      </c>
    </row>
    <row r="104" spans="1:15" x14ac:dyDescent="0.25">
      <c r="A104" s="4">
        <v>45412</v>
      </c>
      <c r="B104" s="4" t="s">
        <v>84</v>
      </c>
      <c r="C104" s="5" t="s">
        <v>3</v>
      </c>
      <c r="D104" s="6" t="s">
        <v>25</v>
      </c>
      <c r="E104" s="7" t="s">
        <v>26</v>
      </c>
      <c r="F104" s="5" t="s">
        <v>59</v>
      </c>
      <c r="G104" s="8">
        <v>3499</v>
      </c>
      <c r="H104" s="9">
        <f t="shared" si="7"/>
        <v>174.95000000000002</v>
      </c>
      <c r="I104" s="9">
        <f t="shared" si="8"/>
        <v>437.375</v>
      </c>
      <c r="J104" s="9">
        <f t="shared" si="9"/>
        <v>384.89</v>
      </c>
      <c r="K104" s="8">
        <f t="shared" si="10"/>
        <v>4496.2150000000001</v>
      </c>
      <c r="L104" s="10">
        <v>1</v>
      </c>
      <c r="M104" s="8">
        <f t="shared" si="11"/>
        <v>4496.2150000000001</v>
      </c>
      <c r="N104" s="8">
        <f t="shared" si="12"/>
        <v>674.43224999999995</v>
      </c>
      <c r="O104" s="8">
        <f t="shared" si="13"/>
        <v>3821.7827500000003</v>
      </c>
    </row>
    <row r="105" spans="1:15" x14ac:dyDescent="0.25">
      <c r="A105" s="4">
        <v>45317</v>
      </c>
      <c r="B105" s="4" t="s">
        <v>81</v>
      </c>
      <c r="C105" s="5" t="s">
        <v>10</v>
      </c>
      <c r="D105" s="6" t="s">
        <v>11</v>
      </c>
      <c r="E105" s="7" t="s">
        <v>12</v>
      </c>
      <c r="F105" s="5" t="s">
        <v>59</v>
      </c>
      <c r="G105" s="8">
        <v>3499</v>
      </c>
      <c r="H105" s="9">
        <f t="shared" si="7"/>
        <v>174.95000000000002</v>
      </c>
      <c r="I105" s="9">
        <f t="shared" si="8"/>
        <v>437.375</v>
      </c>
      <c r="J105" s="9">
        <f t="shared" si="9"/>
        <v>384.89</v>
      </c>
      <c r="K105" s="8">
        <f t="shared" si="10"/>
        <v>4496.2150000000001</v>
      </c>
      <c r="L105" s="10">
        <v>8</v>
      </c>
      <c r="M105" s="8">
        <f t="shared" si="11"/>
        <v>35969.72</v>
      </c>
      <c r="N105" s="8">
        <f t="shared" si="12"/>
        <v>5395.4579999999996</v>
      </c>
      <c r="O105" s="8">
        <f t="shared" si="13"/>
        <v>30574.262000000002</v>
      </c>
    </row>
    <row r="106" spans="1:15" x14ac:dyDescent="0.25">
      <c r="A106" s="4">
        <v>45337</v>
      </c>
      <c r="B106" s="4" t="s">
        <v>91</v>
      </c>
      <c r="C106" s="5" t="s">
        <v>14</v>
      </c>
      <c r="D106" s="6" t="s">
        <v>55</v>
      </c>
      <c r="E106" s="7" t="s">
        <v>56</v>
      </c>
      <c r="F106" s="5" t="s">
        <v>30</v>
      </c>
      <c r="G106" s="8">
        <v>4999</v>
      </c>
      <c r="H106" s="9">
        <f t="shared" si="7"/>
        <v>249.95000000000002</v>
      </c>
      <c r="I106" s="9">
        <f t="shared" si="8"/>
        <v>624.875</v>
      </c>
      <c r="J106" s="9">
        <f t="shared" si="9"/>
        <v>549.89</v>
      </c>
      <c r="K106" s="8">
        <f t="shared" si="10"/>
        <v>6423.7150000000001</v>
      </c>
      <c r="L106" s="10">
        <v>7</v>
      </c>
      <c r="M106" s="8">
        <f t="shared" si="11"/>
        <v>44966.005000000005</v>
      </c>
      <c r="N106" s="8">
        <f t="shared" si="12"/>
        <v>6744.9007500000007</v>
      </c>
      <c r="O106" s="8">
        <f t="shared" si="13"/>
        <v>38221.104250000004</v>
      </c>
    </row>
    <row r="107" spans="1:15" x14ac:dyDescent="0.25">
      <c r="A107" s="4">
        <v>45554</v>
      </c>
      <c r="B107" s="4" t="s">
        <v>89</v>
      </c>
      <c r="C107" s="5" t="s">
        <v>14</v>
      </c>
      <c r="D107" s="6" t="s">
        <v>53</v>
      </c>
      <c r="E107" s="7" t="s">
        <v>54</v>
      </c>
      <c r="F107" s="5" t="s">
        <v>30</v>
      </c>
      <c r="G107" s="8">
        <v>4999</v>
      </c>
      <c r="H107" s="9">
        <f t="shared" si="7"/>
        <v>249.95000000000002</v>
      </c>
      <c r="I107" s="9">
        <f t="shared" si="8"/>
        <v>624.875</v>
      </c>
      <c r="J107" s="9">
        <f t="shared" si="9"/>
        <v>549.89</v>
      </c>
      <c r="K107" s="8">
        <f t="shared" si="10"/>
        <v>6423.7150000000001</v>
      </c>
      <c r="L107" s="10">
        <v>6</v>
      </c>
      <c r="M107" s="8">
        <f t="shared" si="11"/>
        <v>38542.29</v>
      </c>
      <c r="N107" s="8">
        <f t="shared" si="12"/>
        <v>5781.3434999999999</v>
      </c>
      <c r="O107" s="8">
        <f t="shared" si="13"/>
        <v>32760.946500000002</v>
      </c>
    </row>
    <row r="108" spans="1:15" x14ac:dyDescent="0.25">
      <c r="A108" s="4">
        <v>45509</v>
      </c>
      <c r="B108" s="4" t="s">
        <v>82</v>
      </c>
      <c r="C108" s="5" t="s">
        <v>7</v>
      </c>
      <c r="D108" s="6" t="s">
        <v>8</v>
      </c>
      <c r="E108" s="7" t="s">
        <v>9</v>
      </c>
      <c r="F108" s="5" t="s">
        <v>30</v>
      </c>
      <c r="G108" s="8">
        <v>4999</v>
      </c>
      <c r="H108" s="9">
        <f t="shared" si="7"/>
        <v>249.95000000000002</v>
      </c>
      <c r="I108" s="9">
        <f t="shared" si="8"/>
        <v>624.875</v>
      </c>
      <c r="J108" s="9">
        <f t="shared" si="9"/>
        <v>549.89</v>
      </c>
      <c r="K108" s="8">
        <f t="shared" si="10"/>
        <v>6423.7150000000001</v>
      </c>
      <c r="L108" s="10">
        <v>6</v>
      </c>
      <c r="M108" s="8">
        <f t="shared" si="11"/>
        <v>38542.29</v>
      </c>
      <c r="N108" s="8">
        <f t="shared" si="12"/>
        <v>5781.3434999999999</v>
      </c>
      <c r="O108" s="8">
        <f t="shared" si="13"/>
        <v>32760.946500000002</v>
      </c>
    </row>
    <row r="109" spans="1:15" x14ac:dyDescent="0.25">
      <c r="A109" s="4">
        <v>45400</v>
      </c>
      <c r="B109" s="4" t="s">
        <v>84</v>
      </c>
      <c r="C109" s="5" t="s">
        <v>14</v>
      </c>
      <c r="D109" s="6" t="s">
        <v>15</v>
      </c>
      <c r="E109" s="7" t="s">
        <v>16</v>
      </c>
      <c r="F109" s="5" t="s">
        <v>31</v>
      </c>
      <c r="G109" s="8">
        <v>5999</v>
      </c>
      <c r="H109" s="9">
        <f t="shared" si="7"/>
        <v>299.95</v>
      </c>
      <c r="I109" s="9">
        <f t="shared" si="8"/>
        <v>749.875</v>
      </c>
      <c r="J109" s="9">
        <f t="shared" si="9"/>
        <v>659.89</v>
      </c>
      <c r="K109" s="8">
        <f t="shared" si="10"/>
        <v>7708.7150000000001</v>
      </c>
      <c r="L109" s="10">
        <v>1</v>
      </c>
      <c r="M109" s="8">
        <f t="shared" si="11"/>
        <v>7708.7150000000001</v>
      </c>
      <c r="N109" s="8">
        <f t="shared" si="12"/>
        <v>1156.3072500000001</v>
      </c>
      <c r="O109" s="8">
        <f t="shared" si="13"/>
        <v>6552.4077500000003</v>
      </c>
    </row>
    <row r="110" spans="1:15" x14ac:dyDescent="0.25">
      <c r="A110" s="4">
        <v>45348</v>
      </c>
      <c r="B110" s="4" t="s">
        <v>91</v>
      </c>
      <c r="C110" s="5" t="s">
        <v>22</v>
      </c>
      <c r="D110" s="6" t="s">
        <v>33</v>
      </c>
      <c r="E110" s="7" t="s">
        <v>34</v>
      </c>
      <c r="F110" s="5" t="s">
        <v>31</v>
      </c>
      <c r="G110" s="8">
        <v>5999</v>
      </c>
      <c r="H110" s="9">
        <f t="shared" si="7"/>
        <v>299.95</v>
      </c>
      <c r="I110" s="9">
        <f t="shared" si="8"/>
        <v>749.875</v>
      </c>
      <c r="J110" s="9">
        <f t="shared" si="9"/>
        <v>659.89</v>
      </c>
      <c r="K110" s="8">
        <f t="shared" si="10"/>
        <v>7708.7150000000001</v>
      </c>
      <c r="L110" s="10">
        <v>6</v>
      </c>
      <c r="M110" s="8">
        <f t="shared" si="11"/>
        <v>46252.29</v>
      </c>
      <c r="N110" s="8">
        <f t="shared" si="12"/>
        <v>6937.8434999999999</v>
      </c>
      <c r="O110" s="8">
        <f t="shared" si="13"/>
        <v>39314.446499999998</v>
      </c>
    </row>
    <row r="111" spans="1:15" x14ac:dyDescent="0.25">
      <c r="A111" s="4">
        <v>45382</v>
      </c>
      <c r="B111" s="4" t="s">
        <v>90</v>
      </c>
      <c r="C111" s="5" t="s">
        <v>7</v>
      </c>
      <c r="D111" s="6" t="s">
        <v>18</v>
      </c>
      <c r="E111" s="7" t="s">
        <v>19</v>
      </c>
      <c r="F111" s="5" t="s">
        <v>6</v>
      </c>
      <c r="G111" s="8">
        <v>4.9000000000000004</v>
      </c>
      <c r="H111" s="9">
        <f t="shared" si="7"/>
        <v>0.24500000000000002</v>
      </c>
      <c r="I111" s="9">
        <f t="shared" si="8"/>
        <v>0.61250000000000004</v>
      </c>
      <c r="J111" s="9">
        <f t="shared" si="9"/>
        <v>0.53900000000000003</v>
      </c>
      <c r="K111" s="8">
        <f t="shared" si="10"/>
        <v>6.2965</v>
      </c>
      <c r="L111" s="10">
        <v>6</v>
      </c>
      <c r="M111" s="8">
        <f t="shared" si="11"/>
        <v>37.778999999999996</v>
      </c>
      <c r="N111" s="8">
        <f t="shared" si="12"/>
        <v>5.6668499999999993</v>
      </c>
      <c r="O111" s="8">
        <f t="shared" si="13"/>
        <v>32.11215</v>
      </c>
    </row>
    <row r="112" spans="1:15" x14ac:dyDescent="0.25">
      <c r="A112" s="4">
        <v>45584</v>
      </c>
      <c r="B112" s="4" t="s">
        <v>83</v>
      </c>
      <c r="C112" s="5" t="s">
        <v>10</v>
      </c>
      <c r="D112" s="6" t="s">
        <v>39</v>
      </c>
      <c r="E112" s="7" t="s">
        <v>40</v>
      </c>
      <c r="F112" s="5" t="s">
        <v>6</v>
      </c>
      <c r="G112" s="8">
        <v>4.9000000000000004</v>
      </c>
      <c r="H112" s="9">
        <f t="shared" si="7"/>
        <v>0.24500000000000002</v>
      </c>
      <c r="I112" s="9">
        <f t="shared" si="8"/>
        <v>0.61250000000000004</v>
      </c>
      <c r="J112" s="9">
        <f t="shared" si="9"/>
        <v>0.53900000000000003</v>
      </c>
      <c r="K112" s="8">
        <f t="shared" si="10"/>
        <v>6.2965</v>
      </c>
      <c r="L112" s="10">
        <v>1</v>
      </c>
      <c r="M112" s="8">
        <f t="shared" si="11"/>
        <v>6.2965</v>
      </c>
      <c r="N112" s="8">
        <f t="shared" si="12"/>
        <v>0.94447499999999995</v>
      </c>
      <c r="O112" s="8">
        <f t="shared" si="13"/>
        <v>5.3520250000000003</v>
      </c>
    </row>
    <row r="113" spans="1:15" x14ac:dyDescent="0.25">
      <c r="A113" s="4">
        <v>45626</v>
      </c>
      <c r="B113" s="4" t="s">
        <v>86</v>
      </c>
      <c r="C113" s="5" t="s">
        <v>3</v>
      </c>
      <c r="D113" s="6" t="s">
        <v>25</v>
      </c>
      <c r="E113" s="7" t="s">
        <v>26</v>
      </c>
      <c r="F113" s="5" t="s">
        <v>51</v>
      </c>
      <c r="G113" s="8">
        <v>299</v>
      </c>
      <c r="H113" s="9">
        <f t="shared" si="7"/>
        <v>14.950000000000001</v>
      </c>
      <c r="I113" s="9">
        <f t="shared" si="8"/>
        <v>37.375</v>
      </c>
      <c r="J113" s="9">
        <f t="shared" si="9"/>
        <v>32.89</v>
      </c>
      <c r="K113" s="8">
        <f t="shared" si="10"/>
        <v>384.21499999999997</v>
      </c>
      <c r="L113" s="10">
        <v>2</v>
      </c>
      <c r="M113" s="8">
        <f t="shared" si="11"/>
        <v>768.43</v>
      </c>
      <c r="N113" s="8">
        <f t="shared" si="12"/>
        <v>115.26449999999998</v>
      </c>
      <c r="O113" s="8">
        <f t="shared" si="13"/>
        <v>653.16549999999995</v>
      </c>
    </row>
    <row r="114" spans="1:15" x14ac:dyDescent="0.25">
      <c r="A114" s="4">
        <v>45380</v>
      </c>
      <c r="B114" s="4" t="s">
        <v>90</v>
      </c>
      <c r="C114" s="5" t="s">
        <v>10</v>
      </c>
      <c r="D114" s="6" t="s">
        <v>62</v>
      </c>
      <c r="E114" s="7" t="s">
        <v>63</v>
      </c>
      <c r="F114" s="5" t="s">
        <v>65</v>
      </c>
      <c r="G114" s="8">
        <v>1799</v>
      </c>
      <c r="H114" s="9">
        <f t="shared" si="7"/>
        <v>89.95</v>
      </c>
      <c r="I114" s="9">
        <f t="shared" si="8"/>
        <v>224.875</v>
      </c>
      <c r="J114" s="9">
        <f t="shared" si="9"/>
        <v>197.89000000000001</v>
      </c>
      <c r="K114" s="8">
        <f t="shared" si="10"/>
        <v>2311.7149999999997</v>
      </c>
      <c r="L114" s="10">
        <v>2</v>
      </c>
      <c r="M114" s="8">
        <f t="shared" si="11"/>
        <v>4623.4299999999994</v>
      </c>
      <c r="N114" s="8">
        <f t="shared" si="12"/>
        <v>693.51449999999988</v>
      </c>
      <c r="O114" s="8">
        <f t="shared" si="13"/>
        <v>3929.9154999999996</v>
      </c>
    </row>
    <row r="115" spans="1:15" x14ac:dyDescent="0.25">
      <c r="A115" s="4">
        <v>45318</v>
      </c>
      <c r="B115" s="4" t="s">
        <v>81</v>
      </c>
      <c r="C115" s="5" t="s">
        <v>14</v>
      </c>
      <c r="D115" s="6" t="s">
        <v>53</v>
      </c>
      <c r="E115" s="7" t="s">
        <v>54</v>
      </c>
      <c r="F115" s="5" t="s">
        <v>50</v>
      </c>
      <c r="G115" s="8">
        <v>31.9</v>
      </c>
      <c r="H115" s="9">
        <f t="shared" si="7"/>
        <v>1.595</v>
      </c>
      <c r="I115" s="9">
        <f t="shared" si="8"/>
        <v>3.9874999999999998</v>
      </c>
      <c r="J115" s="9">
        <f t="shared" si="9"/>
        <v>3.5089999999999999</v>
      </c>
      <c r="K115" s="8">
        <f t="shared" si="10"/>
        <v>40.991499999999995</v>
      </c>
      <c r="L115" s="10">
        <v>5</v>
      </c>
      <c r="M115" s="8">
        <f t="shared" si="11"/>
        <v>204.95749999999998</v>
      </c>
      <c r="N115" s="8">
        <f t="shared" si="12"/>
        <v>30.743624999999994</v>
      </c>
      <c r="O115" s="8">
        <f t="shared" si="13"/>
        <v>174.21387499999997</v>
      </c>
    </row>
    <row r="116" spans="1:15" x14ac:dyDescent="0.25">
      <c r="A116" s="4">
        <v>45452</v>
      </c>
      <c r="B116" s="4" t="s">
        <v>80</v>
      </c>
      <c r="C116" s="5" t="s">
        <v>10</v>
      </c>
      <c r="D116" s="6" t="s">
        <v>28</v>
      </c>
      <c r="E116" s="7" t="s">
        <v>29</v>
      </c>
      <c r="F116" s="5" t="s">
        <v>50</v>
      </c>
      <c r="G116" s="8">
        <v>31.9</v>
      </c>
      <c r="H116" s="9">
        <f t="shared" si="7"/>
        <v>1.595</v>
      </c>
      <c r="I116" s="9">
        <f t="shared" si="8"/>
        <v>3.9874999999999998</v>
      </c>
      <c r="J116" s="9">
        <f t="shared" si="9"/>
        <v>3.5089999999999999</v>
      </c>
      <c r="K116" s="8">
        <f t="shared" si="10"/>
        <v>40.991499999999995</v>
      </c>
      <c r="L116" s="10">
        <v>4</v>
      </c>
      <c r="M116" s="8">
        <f t="shared" si="11"/>
        <v>163.96599999999998</v>
      </c>
      <c r="N116" s="8">
        <f t="shared" si="12"/>
        <v>24.594899999999996</v>
      </c>
      <c r="O116" s="8">
        <f t="shared" si="13"/>
        <v>139.37109999999998</v>
      </c>
    </row>
    <row r="117" spans="1:15" x14ac:dyDescent="0.25">
      <c r="A117" s="4">
        <v>45415</v>
      </c>
      <c r="B117" s="4" t="s">
        <v>85</v>
      </c>
      <c r="C117" s="5" t="s">
        <v>3</v>
      </c>
      <c r="D117" s="6" t="s">
        <v>44</v>
      </c>
      <c r="E117" s="7" t="s">
        <v>45</v>
      </c>
      <c r="F117" s="5" t="s">
        <v>50</v>
      </c>
      <c r="G117" s="8">
        <v>31.9</v>
      </c>
      <c r="H117" s="9">
        <f t="shared" si="7"/>
        <v>1.595</v>
      </c>
      <c r="I117" s="9">
        <f t="shared" si="8"/>
        <v>3.9874999999999998</v>
      </c>
      <c r="J117" s="9">
        <f t="shared" si="9"/>
        <v>3.5089999999999999</v>
      </c>
      <c r="K117" s="8">
        <f t="shared" si="10"/>
        <v>40.991499999999995</v>
      </c>
      <c r="L117" s="10">
        <v>3</v>
      </c>
      <c r="M117" s="8">
        <f t="shared" si="11"/>
        <v>122.97449999999998</v>
      </c>
      <c r="N117" s="8">
        <f t="shared" si="12"/>
        <v>18.446174999999997</v>
      </c>
      <c r="O117" s="8">
        <f t="shared" si="13"/>
        <v>104.52832499999998</v>
      </c>
    </row>
    <row r="118" spans="1:15" x14ac:dyDescent="0.25">
      <c r="A118" s="4">
        <v>45623</v>
      </c>
      <c r="B118" s="4" t="s">
        <v>86</v>
      </c>
      <c r="C118" s="5" t="s">
        <v>10</v>
      </c>
      <c r="D118" s="6" t="s">
        <v>62</v>
      </c>
      <c r="E118" s="7" t="s">
        <v>63</v>
      </c>
      <c r="F118" s="5" t="s">
        <v>51</v>
      </c>
      <c r="G118" s="8">
        <v>299</v>
      </c>
      <c r="H118" s="9">
        <f t="shared" si="7"/>
        <v>14.950000000000001</v>
      </c>
      <c r="I118" s="9">
        <f t="shared" si="8"/>
        <v>37.375</v>
      </c>
      <c r="J118" s="9">
        <f t="shared" si="9"/>
        <v>32.89</v>
      </c>
      <c r="K118" s="8">
        <f t="shared" si="10"/>
        <v>384.21499999999997</v>
      </c>
      <c r="L118" s="10">
        <v>7</v>
      </c>
      <c r="M118" s="8">
        <f t="shared" si="11"/>
        <v>2689.5049999999997</v>
      </c>
      <c r="N118" s="8">
        <f t="shared" si="12"/>
        <v>403.42574999999994</v>
      </c>
      <c r="O118" s="8">
        <f t="shared" si="13"/>
        <v>2286.0792499999998</v>
      </c>
    </row>
    <row r="119" spans="1:15" x14ac:dyDescent="0.25">
      <c r="A119" s="4">
        <v>45334</v>
      </c>
      <c r="B119" s="4" t="s">
        <v>91</v>
      </c>
      <c r="C119" s="5" t="s">
        <v>10</v>
      </c>
      <c r="D119" s="6" t="s">
        <v>62</v>
      </c>
      <c r="E119" s="7" t="s">
        <v>63</v>
      </c>
      <c r="F119" s="5" t="s">
        <v>59</v>
      </c>
      <c r="G119" s="8">
        <v>3499</v>
      </c>
      <c r="H119" s="9">
        <f t="shared" si="7"/>
        <v>174.95000000000002</v>
      </c>
      <c r="I119" s="9">
        <f t="shared" si="8"/>
        <v>437.375</v>
      </c>
      <c r="J119" s="9">
        <f t="shared" si="9"/>
        <v>384.89</v>
      </c>
      <c r="K119" s="8">
        <f t="shared" si="10"/>
        <v>4496.2150000000001</v>
      </c>
      <c r="L119" s="10">
        <v>4</v>
      </c>
      <c r="M119" s="8">
        <f t="shared" si="11"/>
        <v>17984.86</v>
      </c>
      <c r="N119" s="8">
        <f t="shared" si="12"/>
        <v>2697.7289999999998</v>
      </c>
      <c r="O119" s="8">
        <f t="shared" si="13"/>
        <v>15287.131000000001</v>
      </c>
    </row>
    <row r="120" spans="1:15" x14ac:dyDescent="0.25">
      <c r="A120" s="4">
        <v>45475</v>
      </c>
      <c r="B120" s="4" t="s">
        <v>87</v>
      </c>
      <c r="C120" s="5" t="s">
        <v>10</v>
      </c>
      <c r="D120" s="6" t="s">
        <v>39</v>
      </c>
      <c r="E120" s="7" t="s">
        <v>40</v>
      </c>
      <c r="F120" s="5" t="s">
        <v>31</v>
      </c>
      <c r="G120" s="8">
        <v>5999</v>
      </c>
      <c r="H120" s="9">
        <f t="shared" si="7"/>
        <v>299.95</v>
      </c>
      <c r="I120" s="9">
        <f t="shared" si="8"/>
        <v>749.875</v>
      </c>
      <c r="J120" s="9">
        <f t="shared" si="9"/>
        <v>659.89</v>
      </c>
      <c r="K120" s="8">
        <f t="shared" si="10"/>
        <v>7708.7150000000001</v>
      </c>
      <c r="L120" s="10">
        <v>6</v>
      </c>
      <c r="M120" s="8">
        <f t="shared" si="11"/>
        <v>46252.29</v>
      </c>
      <c r="N120" s="8">
        <f t="shared" si="12"/>
        <v>6937.8434999999999</v>
      </c>
      <c r="O120" s="8">
        <f t="shared" si="13"/>
        <v>39314.446499999998</v>
      </c>
    </row>
    <row r="121" spans="1:15" x14ac:dyDescent="0.25">
      <c r="A121" s="4">
        <v>45494</v>
      </c>
      <c r="B121" s="4" t="s">
        <v>87</v>
      </c>
      <c r="C121" s="5" t="s">
        <v>3</v>
      </c>
      <c r="D121" s="6" t="s">
        <v>44</v>
      </c>
      <c r="E121" s="7" t="s">
        <v>45</v>
      </c>
      <c r="F121" s="5" t="s">
        <v>32</v>
      </c>
      <c r="G121" s="8">
        <v>1799</v>
      </c>
      <c r="H121" s="9">
        <f t="shared" si="7"/>
        <v>89.95</v>
      </c>
      <c r="I121" s="9">
        <f t="shared" si="8"/>
        <v>224.875</v>
      </c>
      <c r="J121" s="9">
        <f t="shared" si="9"/>
        <v>197.89000000000001</v>
      </c>
      <c r="K121" s="8">
        <f t="shared" si="10"/>
        <v>2311.7149999999997</v>
      </c>
      <c r="L121" s="10">
        <v>3</v>
      </c>
      <c r="M121" s="8">
        <f t="shared" si="11"/>
        <v>6935.1449999999986</v>
      </c>
      <c r="N121" s="8">
        <f t="shared" si="12"/>
        <v>1040.2717499999997</v>
      </c>
      <c r="O121" s="8">
        <f t="shared" si="13"/>
        <v>5894.8732499999987</v>
      </c>
    </row>
    <row r="122" spans="1:15" x14ac:dyDescent="0.25">
      <c r="A122" s="4">
        <v>45377</v>
      </c>
      <c r="B122" s="4" t="s">
        <v>90</v>
      </c>
      <c r="C122" s="5" t="s">
        <v>14</v>
      </c>
      <c r="D122" s="6" t="s">
        <v>53</v>
      </c>
      <c r="E122" s="7" t="s">
        <v>54</v>
      </c>
      <c r="F122" s="5" t="s">
        <v>32</v>
      </c>
      <c r="G122" s="8">
        <v>1799</v>
      </c>
      <c r="H122" s="9">
        <f t="shared" si="7"/>
        <v>89.95</v>
      </c>
      <c r="I122" s="9">
        <f t="shared" si="8"/>
        <v>224.875</v>
      </c>
      <c r="J122" s="9">
        <f t="shared" si="9"/>
        <v>197.89000000000001</v>
      </c>
      <c r="K122" s="8">
        <f t="shared" si="10"/>
        <v>2311.7149999999997</v>
      </c>
      <c r="L122" s="10">
        <v>6</v>
      </c>
      <c r="M122" s="8">
        <f t="shared" si="11"/>
        <v>13870.289999999997</v>
      </c>
      <c r="N122" s="8">
        <f t="shared" si="12"/>
        <v>2080.5434999999993</v>
      </c>
      <c r="O122" s="8">
        <f t="shared" si="13"/>
        <v>11789.746499999997</v>
      </c>
    </row>
    <row r="123" spans="1:15" x14ac:dyDescent="0.25">
      <c r="A123" s="4">
        <v>45456</v>
      </c>
      <c r="B123" s="4" t="s">
        <v>80</v>
      </c>
      <c r="C123" s="5" t="s">
        <v>10</v>
      </c>
      <c r="D123" s="6" t="s">
        <v>39</v>
      </c>
      <c r="E123" s="7" t="s">
        <v>40</v>
      </c>
      <c r="F123" s="5" t="s">
        <v>35</v>
      </c>
      <c r="G123" s="8">
        <v>485</v>
      </c>
      <c r="H123" s="9">
        <f t="shared" si="7"/>
        <v>24.25</v>
      </c>
      <c r="I123" s="9">
        <f t="shared" si="8"/>
        <v>60.625</v>
      </c>
      <c r="J123" s="9">
        <f t="shared" si="9"/>
        <v>53.35</v>
      </c>
      <c r="K123" s="8">
        <f t="shared" si="10"/>
        <v>623.22500000000002</v>
      </c>
      <c r="L123" s="10">
        <v>6</v>
      </c>
      <c r="M123" s="8">
        <f t="shared" si="11"/>
        <v>3739.3500000000004</v>
      </c>
      <c r="N123" s="8">
        <f t="shared" si="12"/>
        <v>560.90250000000003</v>
      </c>
      <c r="O123" s="8">
        <f t="shared" si="13"/>
        <v>3178.4475000000002</v>
      </c>
    </row>
    <row r="124" spans="1:15" x14ac:dyDescent="0.25">
      <c r="A124" s="4">
        <v>45488</v>
      </c>
      <c r="B124" s="4" t="s">
        <v>87</v>
      </c>
      <c r="C124" s="5" t="s">
        <v>7</v>
      </c>
      <c r="D124" s="6" t="s">
        <v>8</v>
      </c>
      <c r="E124" s="7" t="s">
        <v>9</v>
      </c>
      <c r="F124" s="5" t="s">
        <v>35</v>
      </c>
      <c r="G124" s="8">
        <v>799</v>
      </c>
      <c r="H124" s="9">
        <f t="shared" si="7"/>
        <v>39.950000000000003</v>
      </c>
      <c r="I124" s="9">
        <f t="shared" si="8"/>
        <v>99.875</v>
      </c>
      <c r="J124" s="9">
        <f t="shared" si="9"/>
        <v>87.89</v>
      </c>
      <c r="K124" s="8">
        <f t="shared" si="10"/>
        <v>1026.7150000000001</v>
      </c>
      <c r="L124" s="10">
        <v>8</v>
      </c>
      <c r="M124" s="8">
        <f t="shared" si="11"/>
        <v>8213.7200000000012</v>
      </c>
      <c r="N124" s="8">
        <f t="shared" si="12"/>
        <v>1232.0580000000002</v>
      </c>
      <c r="O124" s="8">
        <f t="shared" si="13"/>
        <v>6981.6620000000012</v>
      </c>
    </row>
    <row r="125" spans="1:15" x14ac:dyDescent="0.25">
      <c r="A125" s="4">
        <v>45563</v>
      </c>
      <c r="B125" s="4" t="s">
        <v>89</v>
      </c>
      <c r="C125" s="5" t="s">
        <v>3</v>
      </c>
      <c r="D125" s="6" t="s">
        <v>25</v>
      </c>
      <c r="E125" s="7" t="s">
        <v>26</v>
      </c>
      <c r="F125" s="5" t="s">
        <v>61</v>
      </c>
      <c r="G125" s="8">
        <v>210</v>
      </c>
      <c r="H125" s="9">
        <f t="shared" si="7"/>
        <v>10.5</v>
      </c>
      <c r="I125" s="9">
        <f t="shared" si="8"/>
        <v>26.25</v>
      </c>
      <c r="J125" s="9">
        <f t="shared" si="9"/>
        <v>23.1</v>
      </c>
      <c r="K125" s="8">
        <f t="shared" si="10"/>
        <v>269.85000000000002</v>
      </c>
      <c r="L125" s="10">
        <v>5</v>
      </c>
      <c r="M125" s="8">
        <f t="shared" si="11"/>
        <v>1349.25</v>
      </c>
      <c r="N125" s="8">
        <f t="shared" si="12"/>
        <v>202.38749999999999</v>
      </c>
      <c r="O125" s="8">
        <f t="shared" si="13"/>
        <v>1146.8625</v>
      </c>
    </row>
    <row r="126" spans="1:15" x14ac:dyDescent="0.25">
      <c r="A126" s="4">
        <v>45556</v>
      </c>
      <c r="B126" s="4" t="s">
        <v>89</v>
      </c>
      <c r="C126" s="5" t="s">
        <v>22</v>
      </c>
      <c r="D126" s="6" t="s">
        <v>23</v>
      </c>
      <c r="E126" s="7" t="s">
        <v>24</v>
      </c>
      <c r="F126" s="5" t="s">
        <v>36</v>
      </c>
      <c r="G126" s="8">
        <v>499</v>
      </c>
      <c r="H126" s="9">
        <f t="shared" si="7"/>
        <v>24.950000000000003</v>
      </c>
      <c r="I126" s="9">
        <f t="shared" si="8"/>
        <v>62.375</v>
      </c>
      <c r="J126" s="9">
        <f t="shared" si="9"/>
        <v>54.89</v>
      </c>
      <c r="K126" s="8">
        <f t="shared" si="10"/>
        <v>641.21500000000003</v>
      </c>
      <c r="L126" s="10">
        <v>1</v>
      </c>
      <c r="M126" s="8">
        <f t="shared" si="11"/>
        <v>641.21500000000003</v>
      </c>
      <c r="N126" s="8">
        <f t="shared" si="12"/>
        <v>96.182249999999996</v>
      </c>
      <c r="O126" s="8">
        <f t="shared" si="13"/>
        <v>545.03275000000008</v>
      </c>
    </row>
    <row r="127" spans="1:15" x14ac:dyDescent="0.25">
      <c r="A127" s="4">
        <v>45536</v>
      </c>
      <c r="B127" s="4" t="s">
        <v>89</v>
      </c>
      <c r="C127" s="5" t="s">
        <v>22</v>
      </c>
      <c r="D127" s="6" t="s">
        <v>41</v>
      </c>
      <c r="E127" s="7" t="s">
        <v>42</v>
      </c>
      <c r="F127" s="5" t="s">
        <v>66</v>
      </c>
      <c r="G127" s="8">
        <v>549</v>
      </c>
      <c r="H127" s="9">
        <f t="shared" si="7"/>
        <v>27.450000000000003</v>
      </c>
      <c r="I127" s="9">
        <f t="shared" si="8"/>
        <v>68.625</v>
      </c>
      <c r="J127" s="9">
        <f t="shared" si="9"/>
        <v>60.39</v>
      </c>
      <c r="K127" s="8">
        <f t="shared" si="10"/>
        <v>705.46500000000003</v>
      </c>
      <c r="L127" s="10">
        <v>3</v>
      </c>
      <c r="M127" s="8">
        <f t="shared" si="11"/>
        <v>2116.395</v>
      </c>
      <c r="N127" s="8">
        <f t="shared" si="12"/>
        <v>317.45925</v>
      </c>
      <c r="O127" s="8">
        <f t="shared" si="13"/>
        <v>1798.9357500000001</v>
      </c>
    </row>
    <row r="128" spans="1:15" x14ac:dyDescent="0.25">
      <c r="A128" s="4">
        <v>45312</v>
      </c>
      <c r="B128" s="4" t="s">
        <v>81</v>
      </c>
      <c r="C128" s="5" t="s">
        <v>14</v>
      </c>
      <c r="D128" s="6" t="s">
        <v>15</v>
      </c>
      <c r="E128" s="7" t="s">
        <v>16</v>
      </c>
      <c r="F128" s="5" t="s">
        <v>38</v>
      </c>
      <c r="G128" s="8">
        <v>329</v>
      </c>
      <c r="H128" s="9">
        <f t="shared" si="7"/>
        <v>16.45</v>
      </c>
      <c r="I128" s="9">
        <f t="shared" si="8"/>
        <v>41.125</v>
      </c>
      <c r="J128" s="9">
        <f t="shared" si="9"/>
        <v>36.19</v>
      </c>
      <c r="K128" s="8">
        <f t="shared" si="10"/>
        <v>422.76499999999999</v>
      </c>
      <c r="L128" s="10">
        <v>3</v>
      </c>
      <c r="M128" s="8">
        <f t="shared" si="11"/>
        <v>1268.2950000000001</v>
      </c>
      <c r="N128" s="8">
        <f t="shared" si="12"/>
        <v>190.24424999999999</v>
      </c>
      <c r="O128" s="8">
        <f t="shared" si="13"/>
        <v>1078.0507500000001</v>
      </c>
    </row>
    <row r="129" spans="1:15" x14ac:dyDescent="0.25">
      <c r="A129" s="4">
        <v>45530</v>
      </c>
      <c r="B129" s="4" t="s">
        <v>82</v>
      </c>
      <c r="C129" s="5" t="s">
        <v>22</v>
      </c>
      <c r="D129" s="6" t="s">
        <v>23</v>
      </c>
      <c r="E129" s="7" t="s">
        <v>24</v>
      </c>
      <c r="F129" s="5" t="s">
        <v>38</v>
      </c>
      <c r="G129" s="8">
        <v>575</v>
      </c>
      <c r="H129" s="9">
        <f t="shared" si="7"/>
        <v>28.75</v>
      </c>
      <c r="I129" s="9">
        <f t="shared" si="8"/>
        <v>71.875</v>
      </c>
      <c r="J129" s="9">
        <f t="shared" si="9"/>
        <v>63.25</v>
      </c>
      <c r="K129" s="8">
        <f t="shared" si="10"/>
        <v>738.875</v>
      </c>
      <c r="L129" s="10">
        <v>8</v>
      </c>
      <c r="M129" s="8">
        <f t="shared" si="11"/>
        <v>5911</v>
      </c>
      <c r="N129" s="8">
        <f t="shared" si="12"/>
        <v>886.65</v>
      </c>
      <c r="O129" s="8">
        <f t="shared" si="13"/>
        <v>5024.3500000000004</v>
      </c>
    </row>
    <row r="130" spans="1:15" x14ac:dyDescent="0.25">
      <c r="A130" s="4">
        <v>45440</v>
      </c>
      <c r="B130" s="4" t="s">
        <v>85</v>
      </c>
      <c r="C130" s="5" t="s">
        <v>22</v>
      </c>
      <c r="D130" s="6" t="s">
        <v>23</v>
      </c>
      <c r="E130" s="7" t="s">
        <v>24</v>
      </c>
      <c r="F130" s="5" t="s">
        <v>13</v>
      </c>
      <c r="G130" s="8">
        <v>1149</v>
      </c>
      <c r="H130" s="9">
        <f t="shared" si="7"/>
        <v>57.45</v>
      </c>
      <c r="I130" s="9">
        <f t="shared" si="8"/>
        <v>143.625</v>
      </c>
      <c r="J130" s="9">
        <f t="shared" si="9"/>
        <v>126.39</v>
      </c>
      <c r="K130" s="8">
        <f t="shared" si="10"/>
        <v>1476.4650000000001</v>
      </c>
      <c r="L130" s="10">
        <v>3</v>
      </c>
      <c r="M130" s="8">
        <f t="shared" si="11"/>
        <v>4429.3950000000004</v>
      </c>
      <c r="N130" s="8">
        <f t="shared" si="12"/>
        <v>664.40925000000004</v>
      </c>
      <c r="O130" s="8">
        <f t="shared" si="13"/>
        <v>3764.9857500000003</v>
      </c>
    </row>
    <row r="131" spans="1:15" x14ac:dyDescent="0.25">
      <c r="A131" s="4">
        <v>45549</v>
      </c>
      <c r="B131" s="4" t="s">
        <v>89</v>
      </c>
      <c r="C131" s="5" t="s">
        <v>7</v>
      </c>
      <c r="D131" s="6" t="s">
        <v>8</v>
      </c>
      <c r="E131" s="7" t="s">
        <v>9</v>
      </c>
      <c r="F131" s="5" t="s">
        <v>43</v>
      </c>
      <c r="G131" s="8">
        <v>1510</v>
      </c>
      <c r="H131" s="9">
        <f t="shared" ref="H131:H154" si="14">G131*5%</f>
        <v>75.5</v>
      </c>
      <c r="I131" s="9">
        <f t="shared" ref="I131:I154" si="15">G131*12.5%</f>
        <v>188.75</v>
      </c>
      <c r="J131" s="9">
        <f t="shared" ref="J131:J154" si="16">G131*11%</f>
        <v>166.1</v>
      </c>
      <c r="K131" s="8">
        <f t="shared" ref="K131:K154" si="17">SUM(G131:J131)</f>
        <v>1940.35</v>
      </c>
      <c r="L131" s="10">
        <v>6</v>
      </c>
      <c r="M131" s="8">
        <f t="shared" ref="M131:M154" si="18">K131*L131</f>
        <v>11642.099999999999</v>
      </c>
      <c r="N131" s="8">
        <f t="shared" ref="N131:N154" si="19">M131*15%</f>
        <v>1746.3149999999998</v>
      </c>
      <c r="O131" s="8">
        <f t="shared" ref="O131:O154" si="20">M131-N131</f>
        <v>9895.784999999998</v>
      </c>
    </row>
    <row r="132" spans="1:15" x14ac:dyDescent="0.25">
      <c r="A132" s="4">
        <v>45645</v>
      </c>
      <c r="B132" s="4" t="s">
        <v>88</v>
      </c>
      <c r="C132" s="5" t="s">
        <v>10</v>
      </c>
      <c r="D132" s="6" t="s">
        <v>39</v>
      </c>
      <c r="E132" s="7" t="s">
        <v>40</v>
      </c>
      <c r="F132" s="5" t="s">
        <v>43</v>
      </c>
      <c r="G132" s="8">
        <v>1510</v>
      </c>
      <c r="H132" s="9">
        <f t="shared" si="14"/>
        <v>75.5</v>
      </c>
      <c r="I132" s="9">
        <f t="shared" si="15"/>
        <v>188.75</v>
      </c>
      <c r="J132" s="9">
        <f t="shared" si="16"/>
        <v>166.1</v>
      </c>
      <c r="K132" s="8">
        <f t="shared" si="17"/>
        <v>1940.35</v>
      </c>
      <c r="L132" s="10">
        <v>4</v>
      </c>
      <c r="M132" s="8">
        <f t="shared" si="18"/>
        <v>7761.4</v>
      </c>
      <c r="N132" s="8">
        <f t="shared" si="19"/>
        <v>1164.2099999999998</v>
      </c>
      <c r="O132" s="8">
        <f t="shared" si="20"/>
        <v>6597.19</v>
      </c>
    </row>
    <row r="133" spans="1:15" x14ac:dyDescent="0.25">
      <c r="A133" s="4">
        <v>45300</v>
      </c>
      <c r="B133" s="4" t="s">
        <v>81</v>
      </c>
      <c r="C133" s="5" t="s">
        <v>3</v>
      </c>
      <c r="D133" s="6" t="s">
        <v>4</v>
      </c>
      <c r="E133" s="7" t="s">
        <v>5</v>
      </c>
      <c r="F133" s="5" t="s">
        <v>17</v>
      </c>
      <c r="G133" s="8">
        <v>785</v>
      </c>
      <c r="H133" s="9">
        <f t="shared" si="14"/>
        <v>39.25</v>
      </c>
      <c r="I133" s="9">
        <f t="shared" si="15"/>
        <v>98.125</v>
      </c>
      <c r="J133" s="9">
        <f t="shared" si="16"/>
        <v>86.35</v>
      </c>
      <c r="K133" s="8">
        <f t="shared" si="17"/>
        <v>1008.725</v>
      </c>
      <c r="L133" s="10">
        <v>2</v>
      </c>
      <c r="M133" s="8">
        <f t="shared" si="18"/>
        <v>2017.45</v>
      </c>
      <c r="N133" s="8">
        <f t="shared" si="19"/>
        <v>302.61750000000001</v>
      </c>
      <c r="O133" s="8">
        <f t="shared" si="20"/>
        <v>1714.8325</v>
      </c>
    </row>
    <row r="134" spans="1:15" x14ac:dyDescent="0.25">
      <c r="A134" s="4">
        <v>45567</v>
      </c>
      <c r="B134" s="4" t="s">
        <v>83</v>
      </c>
      <c r="C134" s="5" t="s">
        <v>14</v>
      </c>
      <c r="D134" s="6" t="s">
        <v>55</v>
      </c>
      <c r="E134" s="7" t="s">
        <v>56</v>
      </c>
      <c r="F134" s="5" t="s">
        <v>21</v>
      </c>
      <c r="G134" s="8">
        <v>2000</v>
      </c>
      <c r="H134" s="9">
        <f t="shared" si="14"/>
        <v>100</v>
      </c>
      <c r="I134" s="9">
        <f t="shared" si="15"/>
        <v>250</v>
      </c>
      <c r="J134" s="9">
        <f t="shared" si="16"/>
        <v>220</v>
      </c>
      <c r="K134" s="8">
        <f t="shared" si="17"/>
        <v>2570</v>
      </c>
      <c r="L134" s="10">
        <v>2</v>
      </c>
      <c r="M134" s="8">
        <f t="shared" si="18"/>
        <v>5140</v>
      </c>
      <c r="N134" s="8">
        <f t="shared" si="19"/>
        <v>771</v>
      </c>
      <c r="O134" s="8">
        <f t="shared" si="20"/>
        <v>4369</v>
      </c>
    </row>
    <row r="135" spans="1:15" x14ac:dyDescent="0.25">
      <c r="A135" s="4">
        <v>45488</v>
      </c>
      <c r="B135" s="4" t="s">
        <v>87</v>
      </c>
      <c r="C135" s="5" t="s">
        <v>3</v>
      </c>
      <c r="D135" s="6" t="s">
        <v>25</v>
      </c>
      <c r="E135" s="7" t="s">
        <v>26</v>
      </c>
      <c r="F135" s="5" t="s">
        <v>57</v>
      </c>
      <c r="G135" s="8">
        <v>1299</v>
      </c>
      <c r="H135" s="9">
        <f t="shared" si="14"/>
        <v>64.95</v>
      </c>
      <c r="I135" s="9">
        <f t="shared" si="15"/>
        <v>162.375</v>
      </c>
      <c r="J135" s="9">
        <f t="shared" si="16"/>
        <v>142.89000000000001</v>
      </c>
      <c r="K135" s="8">
        <f t="shared" si="17"/>
        <v>1669.2150000000001</v>
      </c>
      <c r="L135" s="10">
        <v>7</v>
      </c>
      <c r="M135" s="8">
        <f t="shared" si="18"/>
        <v>11684.505000000001</v>
      </c>
      <c r="N135" s="8">
        <f t="shared" si="19"/>
        <v>1752.6757500000001</v>
      </c>
      <c r="O135" s="8">
        <f t="shared" si="20"/>
        <v>9931.8292500000007</v>
      </c>
    </row>
    <row r="136" spans="1:15" x14ac:dyDescent="0.25">
      <c r="A136" s="4">
        <v>45652</v>
      </c>
      <c r="B136" s="4" t="s">
        <v>88</v>
      </c>
      <c r="C136" s="5" t="s">
        <v>3</v>
      </c>
      <c r="D136" s="6" t="s">
        <v>25</v>
      </c>
      <c r="E136" s="7" t="s">
        <v>26</v>
      </c>
      <c r="F136" s="5" t="s">
        <v>46</v>
      </c>
      <c r="G136" s="8">
        <v>499</v>
      </c>
      <c r="H136" s="9">
        <f t="shared" si="14"/>
        <v>24.950000000000003</v>
      </c>
      <c r="I136" s="9">
        <f t="shared" si="15"/>
        <v>62.375</v>
      </c>
      <c r="J136" s="9">
        <f t="shared" si="16"/>
        <v>54.89</v>
      </c>
      <c r="K136" s="8">
        <f t="shared" si="17"/>
        <v>641.21500000000003</v>
      </c>
      <c r="L136" s="10">
        <v>8</v>
      </c>
      <c r="M136" s="8">
        <f t="shared" si="18"/>
        <v>5129.72</v>
      </c>
      <c r="N136" s="8">
        <f t="shared" si="19"/>
        <v>769.45799999999997</v>
      </c>
      <c r="O136" s="8">
        <f t="shared" si="20"/>
        <v>4360.2620000000006</v>
      </c>
    </row>
    <row r="137" spans="1:15" x14ac:dyDescent="0.25">
      <c r="A137" s="4">
        <v>45378</v>
      </c>
      <c r="B137" s="4" t="s">
        <v>90</v>
      </c>
      <c r="C137" s="5" t="s">
        <v>7</v>
      </c>
      <c r="D137" s="6" t="s">
        <v>8</v>
      </c>
      <c r="E137" s="7" t="s">
        <v>9</v>
      </c>
      <c r="F137" s="5" t="s">
        <v>64</v>
      </c>
      <c r="G137" s="8">
        <v>419</v>
      </c>
      <c r="H137" s="9">
        <f t="shared" si="14"/>
        <v>20.950000000000003</v>
      </c>
      <c r="I137" s="9">
        <f t="shared" si="15"/>
        <v>52.375</v>
      </c>
      <c r="J137" s="9">
        <f t="shared" si="16"/>
        <v>46.09</v>
      </c>
      <c r="K137" s="8">
        <f t="shared" si="17"/>
        <v>538.41499999999996</v>
      </c>
      <c r="L137" s="10">
        <v>5</v>
      </c>
      <c r="M137" s="8">
        <f t="shared" si="18"/>
        <v>2692.0749999999998</v>
      </c>
      <c r="N137" s="8">
        <f t="shared" si="19"/>
        <v>403.81124999999997</v>
      </c>
      <c r="O137" s="8">
        <f t="shared" si="20"/>
        <v>2288.2637500000001</v>
      </c>
    </row>
    <row r="138" spans="1:15" x14ac:dyDescent="0.25">
      <c r="A138" s="4">
        <v>45313</v>
      </c>
      <c r="B138" s="4" t="s">
        <v>81</v>
      </c>
      <c r="C138" s="5" t="s">
        <v>14</v>
      </c>
      <c r="D138" s="6" t="s">
        <v>53</v>
      </c>
      <c r="E138" s="7" t="s">
        <v>54</v>
      </c>
      <c r="F138" s="5" t="s">
        <v>47</v>
      </c>
      <c r="G138" s="8">
        <v>1299</v>
      </c>
      <c r="H138" s="9">
        <f t="shared" si="14"/>
        <v>64.95</v>
      </c>
      <c r="I138" s="9">
        <f t="shared" si="15"/>
        <v>162.375</v>
      </c>
      <c r="J138" s="9">
        <f t="shared" si="16"/>
        <v>142.89000000000001</v>
      </c>
      <c r="K138" s="8">
        <f t="shared" si="17"/>
        <v>1669.2150000000001</v>
      </c>
      <c r="L138" s="10">
        <v>1</v>
      </c>
      <c r="M138" s="8">
        <f t="shared" si="18"/>
        <v>1669.2150000000001</v>
      </c>
      <c r="N138" s="8">
        <f t="shared" si="19"/>
        <v>250.38225</v>
      </c>
      <c r="O138" s="8">
        <f t="shared" si="20"/>
        <v>1418.83275</v>
      </c>
    </row>
    <row r="139" spans="1:15" x14ac:dyDescent="0.25">
      <c r="A139" s="4">
        <v>45462</v>
      </c>
      <c r="B139" s="4" t="s">
        <v>80</v>
      </c>
      <c r="C139" s="5" t="s">
        <v>7</v>
      </c>
      <c r="D139" s="6" t="s">
        <v>18</v>
      </c>
      <c r="E139" s="7" t="s">
        <v>19</v>
      </c>
      <c r="F139" s="5" t="s">
        <v>49</v>
      </c>
      <c r="G139" s="8">
        <v>349</v>
      </c>
      <c r="H139" s="9">
        <f t="shared" si="14"/>
        <v>17.45</v>
      </c>
      <c r="I139" s="9">
        <f t="shared" si="15"/>
        <v>43.625</v>
      </c>
      <c r="J139" s="9">
        <f t="shared" si="16"/>
        <v>38.39</v>
      </c>
      <c r="K139" s="8">
        <f t="shared" si="17"/>
        <v>448.46499999999997</v>
      </c>
      <c r="L139" s="10">
        <v>4</v>
      </c>
      <c r="M139" s="8">
        <f t="shared" si="18"/>
        <v>1793.86</v>
      </c>
      <c r="N139" s="8">
        <f t="shared" si="19"/>
        <v>269.07899999999995</v>
      </c>
      <c r="O139" s="8">
        <f t="shared" si="20"/>
        <v>1524.7809999999999</v>
      </c>
    </row>
    <row r="140" spans="1:15" x14ac:dyDescent="0.25">
      <c r="A140" s="4">
        <v>45565</v>
      </c>
      <c r="B140" s="4" t="s">
        <v>89</v>
      </c>
      <c r="C140" s="5" t="s">
        <v>10</v>
      </c>
      <c r="D140" s="6" t="s">
        <v>39</v>
      </c>
      <c r="E140" s="7" t="s">
        <v>40</v>
      </c>
      <c r="F140" s="5" t="s">
        <v>65</v>
      </c>
      <c r="G140" s="8">
        <v>1799</v>
      </c>
      <c r="H140" s="9">
        <f t="shared" si="14"/>
        <v>89.95</v>
      </c>
      <c r="I140" s="9">
        <f t="shared" si="15"/>
        <v>224.875</v>
      </c>
      <c r="J140" s="9">
        <f t="shared" si="16"/>
        <v>197.89000000000001</v>
      </c>
      <c r="K140" s="8">
        <f t="shared" si="17"/>
        <v>2311.7149999999997</v>
      </c>
      <c r="L140" s="10">
        <v>6</v>
      </c>
      <c r="M140" s="8">
        <f t="shared" si="18"/>
        <v>13870.289999999997</v>
      </c>
      <c r="N140" s="8">
        <f t="shared" si="19"/>
        <v>2080.5434999999993</v>
      </c>
      <c r="O140" s="8">
        <f t="shared" si="20"/>
        <v>11789.746499999997</v>
      </c>
    </row>
    <row r="141" spans="1:15" x14ac:dyDescent="0.25">
      <c r="A141" s="4">
        <v>45507</v>
      </c>
      <c r="B141" s="4" t="s">
        <v>82</v>
      </c>
      <c r="C141" s="5" t="s">
        <v>7</v>
      </c>
      <c r="D141" s="6" t="s">
        <v>18</v>
      </c>
      <c r="E141" s="7" t="s">
        <v>19</v>
      </c>
      <c r="F141" s="5" t="s">
        <v>58</v>
      </c>
      <c r="G141" s="8">
        <v>369</v>
      </c>
      <c r="H141" s="9">
        <f t="shared" si="14"/>
        <v>18.45</v>
      </c>
      <c r="I141" s="9">
        <f t="shared" si="15"/>
        <v>46.125</v>
      </c>
      <c r="J141" s="9">
        <f t="shared" si="16"/>
        <v>40.590000000000003</v>
      </c>
      <c r="K141" s="8">
        <f t="shared" si="17"/>
        <v>474.16499999999996</v>
      </c>
      <c r="L141" s="10">
        <v>8</v>
      </c>
      <c r="M141" s="8">
        <f t="shared" si="18"/>
        <v>3793.3199999999997</v>
      </c>
      <c r="N141" s="8">
        <f t="shared" si="19"/>
        <v>568.99799999999993</v>
      </c>
      <c r="O141" s="8">
        <f t="shared" si="20"/>
        <v>3224.3219999999997</v>
      </c>
    </row>
    <row r="142" spans="1:15" x14ac:dyDescent="0.25">
      <c r="A142" s="4">
        <v>45422</v>
      </c>
      <c r="B142" s="4" t="s">
        <v>85</v>
      </c>
      <c r="C142" s="5" t="s">
        <v>7</v>
      </c>
      <c r="D142" s="6" t="s">
        <v>8</v>
      </c>
      <c r="E142" s="7" t="s">
        <v>9</v>
      </c>
      <c r="F142" s="5" t="s">
        <v>50</v>
      </c>
      <c r="G142" s="8">
        <v>31.9</v>
      </c>
      <c r="H142" s="9">
        <f t="shared" si="14"/>
        <v>1.595</v>
      </c>
      <c r="I142" s="9">
        <f t="shared" si="15"/>
        <v>3.9874999999999998</v>
      </c>
      <c r="J142" s="9">
        <f t="shared" si="16"/>
        <v>3.5089999999999999</v>
      </c>
      <c r="K142" s="8">
        <f t="shared" si="17"/>
        <v>40.991499999999995</v>
      </c>
      <c r="L142" s="10">
        <v>6</v>
      </c>
      <c r="M142" s="8">
        <f t="shared" si="18"/>
        <v>245.94899999999996</v>
      </c>
      <c r="N142" s="8">
        <f t="shared" si="19"/>
        <v>36.892349999999993</v>
      </c>
      <c r="O142" s="8">
        <f t="shared" si="20"/>
        <v>209.05664999999996</v>
      </c>
    </row>
    <row r="143" spans="1:15" x14ac:dyDescent="0.25">
      <c r="A143" s="4">
        <v>45455</v>
      </c>
      <c r="B143" s="4" t="s">
        <v>80</v>
      </c>
      <c r="C143" s="5" t="s">
        <v>14</v>
      </c>
      <c r="D143" s="6" t="s">
        <v>55</v>
      </c>
      <c r="E143" s="7" t="s">
        <v>56</v>
      </c>
      <c r="F143" s="5" t="s">
        <v>51</v>
      </c>
      <c r="G143" s="8">
        <v>299</v>
      </c>
      <c r="H143" s="9">
        <f t="shared" si="14"/>
        <v>14.950000000000001</v>
      </c>
      <c r="I143" s="9">
        <f t="shared" si="15"/>
        <v>37.375</v>
      </c>
      <c r="J143" s="9">
        <f t="shared" si="16"/>
        <v>32.89</v>
      </c>
      <c r="K143" s="8">
        <f t="shared" si="17"/>
        <v>384.21499999999997</v>
      </c>
      <c r="L143" s="10">
        <v>3</v>
      </c>
      <c r="M143" s="8">
        <f t="shared" si="18"/>
        <v>1152.645</v>
      </c>
      <c r="N143" s="8">
        <f t="shared" si="19"/>
        <v>172.89675</v>
      </c>
      <c r="O143" s="8">
        <f t="shared" si="20"/>
        <v>979.74824999999998</v>
      </c>
    </row>
    <row r="144" spans="1:15" x14ac:dyDescent="0.25">
      <c r="A144" s="4">
        <v>45554</v>
      </c>
      <c r="B144" s="4" t="s">
        <v>89</v>
      </c>
      <c r="C144" s="5" t="s">
        <v>14</v>
      </c>
      <c r="D144" s="6" t="s">
        <v>15</v>
      </c>
      <c r="E144" s="7" t="s">
        <v>16</v>
      </c>
      <c r="F144" s="5" t="s">
        <v>59</v>
      </c>
      <c r="G144" s="8">
        <v>3499</v>
      </c>
      <c r="H144" s="9">
        <f t="shared" si="14"/>
        <v>174.95000000000002</v>
      </c>
      <c r="I144" s="9">
        <f t="shared" si="15"/>
        <v>437.375</v>
      </c>
      <c r="J144" s="9">
        <f t="shared" si="16"/>
        <v>384.89</v>
      </c>
      <c r="K144" s="8">
        <f t="shared" si="17"/>
        <v>4496.2150000000001</v>
      </c>
      <c r="L144" s="10">
        <v>7</v>
      </c>
      <c r="M144" s="8">
        <f t="shared" si="18"/>
        <v>31473.505000000001</v>
      </c>
      <c r="N144" s="8">
        <f t="shared" si="19"/>
        <v>4721.0257499999998</v>
      </c>
      <c r="O144" s="8">
        <f t="shared" si="20"/>
        <v>26752.47925</v>
      </c>
    </row>
    <row r="145" spans="1:15" x14ac:dyDescent="0.25">
      <c r="A145" s="4">
        <v>45406</v>
      </c>
      <c r="B145" s="4" t="s">
        <v>84</v>
      </c>
      <c r="C145" s="5" t="s">
        <v>7</v>
      </c>
      <c r="D145" s="6" t="s">
        <v>8</v>
      </c>
      <c r="E145" s="7" t="s">
        <v>9</v>
      </c>
      <c r="F145" s="5" t="s">
        <v>30</v>
      </c>
      <c r="G145" s="8">
        <v>4999</v>
      </c>
      <c r="H145" s="9">
        <f t="shared" si="14"/>
        <v>249.95000000000002</v>
      </c>
      <c r="I145" s="9">
        <f t="shared" si="15"/>
        <v>624.875</v>
      </c>
      <c r="J145" s="9">
        <f t="shared" si="16"/>
        <v>549.89</v>
      </c>
      <c r="K145" s="8">
        <f t="shared" si="17"/>
        <v>6423.7150000000001</v>
      </c>
      <c r="L145" s="10">
        <v>4</v>
      </c>
      <c r="M145" s="8">
        <f t="shared" si="18"/>
        <v>25694.86</v>
      </c>
      <c r="N145" s="8">
        <f t="shared" si="19"/>
        <v>3854.2289999999998</v>
      </c>
      <c r="O145" s="8">
        <f t="shared" si="20"/>
        <v>21840.631000000001</v>
      </c>
    </row>
    <row r="146" spans="1:15" x14ac:dyDescent="0.25">
      <c r="A146" s="4">
        <v>45650</v>
      </c>
      <c r="B146" s="4" t="s">
        <v>88</v>
      </c>
      <c r="C146" s="5" t="s">
        <v>14</v>
      </c>
      <c r="D146" s="6" t="s">
        <v>15</v>
      </c>
      <c r="E146" s="7" t="s">
        <v>16</v>
      </c>
      <c r="F146" s="5" t="s">
        <v>60</v>
      </c>
      <c r="G146" s="8">
        <v>2699</v>
      </c>
      <c r="H146" s="9">
        <f t="shared" si="14"/>
        <v>134.95000000000002</v>
      </c>
      <c r="I146" s="9">
        <f t="shared" si="15"/>
        <v>337.375</v>
      </c>
      <c r="J146" s="9">
        <f t="shared" si="16"/>
        <v>296.89</v>
      </c>
      <c r="K146" s="8">
        <f t="shared" si="17"/>
        <v>3468.2149999999997</v>
      </c>
      <c r="L146" s="10">
        <v>2</v>
      </c>
      <c r="M146" s="8">
        <f t="shared" si="18"/>
        <v>6936.4299999999994</v>
      </c>
      <c r="N146" s="8">
        <f t="shared" si="19"/>
        <v>1040.4644999999998</v>
      </c>
      <c r="O146" s="8">
        <f t="shared" si="20"/>
        <v>5895.9654999999993</v>
      </c>
    </row>
    <row r="147" spans="1:15" x14ac:dyDescent="0.25">
      <c r="A147" s="4">
        <v>45514</v>
      </c>
      <c r="B147" s="4" t="s">
        <v>82</v>
      </c>
      <c r="C147" s="5" t="s">
        <v>22</v>
      </c>
      <c r="D147" s="6" t="s">
        <v>41</v>
      </c>
      <c r="E147" s="7" t="s">
        <v>42</v>
      </c>
      <c r="F147" s="5" t="s">
        <v>60</v>
      </c>
      <c r="G147" s="8">
        <v>2699</v>
      </c>
      <c r="H147" s="9">
        <f t="shared" si="14"/>
        <v>134.95000000000002</v>
      </c>
      <c r="I147" s="9">
        <f t="shared" si="15"/>
        <v>337.375</v>
      </c>
      <c r="J147" s="9">
        <f t="shared" si="16"/>
        <v>296.89</v>
      </c>
      <c r="K147" s="8">
        <f t="shared" si="17"/>
        <v>3468.2149999999997</v>
      </c>
      <c r="L147" s="10">
        <v>7</v>
      </c>
      <c r="M147" s="8">
        <f t="shared" si="18"/>
        <v>24277.504999999997</v>
      </c>
      <c r="N147" s="8">
        <f t="shared" si="19"/>
        <v>3641.6257499999997</v>
      </c>
      <c r="O147" s="8">
        <f t="shared" si="20"/>
        <v>20635.879249999998</v>
      </c>
    </row>
    <row r="148" spans="1:15" x14ac:dyDescent="0.25">
      <c r="A148" s="4">
        <v>45559</v>
      </c>
      <c r="B148" s="4" t="s">
        <v>89</v>
      </c>
      <c r="C148" s="5" t="s">
        <v>7</v>
      </c>
      <c r="D148" s="6" t="s">
        <v>18</v>
      </c>
      <c r="E148" s="7" t="s">
        <v>19</v>
      </c>
      <c r="F148" s="5" t="s">
        <v>67</v>
      </c>
      <c r="G148" s="8">
        <v>799</v>
      </c>
      <c r="H148" s="9">
        <f t="shared" si="14"/>
        <v>39.950000000000003</v>
      </c>
      <c r="I148" s="9">
        <f t="shared" si="15"/>
        <v>99.875</v>
      </c>
      <c r="J148" s="9">
        <f t="shared" si="16"/>
        <v>87.89</v>
      </c>
      <c r="K148" s="8">
        <f t="shared" si="17"/>
        <v>1026.7150000000001</v>
      </c>
      <c r="L148" s="10">
        <v>4</v>
      </c>
      <c r="M148" s="8">
        <f t="shared" si="18"/>
        <v>4106.8600000000006</v>
      </c>
      <c r="N148" s="8">
        <f t="shared" si="19"/>
        <v>616.02900000000011</v>
      </c>
      <c r="O148" s="8">
        <f t="shared" si="20"/>
        <v>3490.8310000000006</v>
      </c>
    </row>
    <row r="149" spans="1:15" x14ac:dyDescent="0.25">
      <c r="A149" s="4">
        <v>45553</v>
      </c>
      <c r="B149" s="4" t="s">
        <v>89</v>
      </c>
      <c r="C149" s="5" t="s">
        <v>10</v>
      </c>
      <c r="D149" s="6" t="s">
        <v>28</v>
      </c>
      <c r="E149" s="7" t="s">
        <v>29</v>
      </c>
      <c r="F149" s="5" t="s">
        <v>61</v>
      </c>
      <c r="G149" s="8">
        <v>279</v>
      </c>
      <c r="H149" s="9">
        <f t="shared" si="14"/>
        <v>13.950000000000001</v>
      </c>
      <c r="I149" s="9">
        <f t="shared" si="15"/>
        <v>34.875</v>
      </c>
      <c r="J149" s="9">
        <f t="shared" si="16"/>
        <v>30.69</v>
      </c>
      <c r="K149" s="8">
        <f t="shared" si="17"/>
        <v>358.51499999999999</v>
      </c>
      <c r="L149" s="10">
        <v>6</v>
      </c>
      <c r="M149" s="8">
        <f t="shared" si="18"/>
        <v>2151.09</v>
      </c>
      <c r="N149" s="8">
        <f t="shared" si="19"/>
        <v>322.6635</v>
      </c>
      <c r="O149" s="8">
        <f t="shared" si="20"/>
        <v>1828.4265</v>
      </c>
    </row>
    <row r="150" spans="1:15" x14ac:dyDescent="0.25">
      <c r="A150" s="4">
        <v>45330</v>
      </c>
      <c r="B150" s="4" t="s">
        <v>91</v>
      </c>
      <c r="C150" s="5" t="s">
        <v>22</v>
      </c>
      <c r="D150" s="6" t="s">
        <v>23</v>
      </c>
      <c r="E150" s="7" t="s">
        <v>24</v>
      </c>
      <c r="F150" s="5" t="s">
        <v>61</v>
      </c>
      <c r="G150" s="8">
        <v>279</v>
      </c>
      <c r="H150" s="9">
        <f t="shared" si="14"/>
        <v>13.950000000000001</v>
      </c>
      <c r="I150" s="9">
        <f t="shared" si="15"/>
        <v>34.875</v>
      </c>
      <c r="J150" s="9">
        <f t="shared" si="16"/>
        <v>30.69</v>
      </c>
      <c r="K150" s="8">
        <f t="shared" si="17"/>
        <v>358.51499999999999</v>
      </c>
      <c r="L150" s="10">
        <v>2</v>
      </c>
      <c r="M150" s="8">
        <f t="shared" si="18"/>
        <v>717.03</v>
      </c>
      <c r="N150" s="8">
        <f t="shared" si="19"/>
        <v>107.55449999999999</v>
      </c>
      <c r="O150" s="8">
        <f t="shared" si="20"/>
        <v>609.47550000000001</v>
      </c>
    </row>
    <row r="151" spans="1:15" x14ac:dyDescent="0.25">
      <c r="A151" s="4">
        <v>45294</v>
      </c>
      <c r="B151" s="4" t="s">
        <v>81</v>
      </c>
      <c r="C151" s="5" t="s">
        <v>7</v>
      </c>
      <c r="D151" s="6" t="s">
        <v>8</v>
      </c>
      <c r="E151" s="7" t="s">
        <v>9</v>
      </c>
      <c r="F151" s="5" t="s">
        <v>61</v>
      </c>
      <c r="G151" s="8">
        <v>210</v>
      </c>
      <c r="H151" s="9">
        <f t="shared" si="14"/>
        <v>10.5</v>
      </c>
      <c r="I151" s="9">
        <f t="shared" si="15"/>
        <v>26.25</v>
      </c>
      <c r="J151" s="9">
        <f t="shared" si="16"/>
        <v>23.1</v>
      </c>
      <c r="K151" s="8">
        <f t="shared" si="17"/>
        <v>269.85000000000002</v>
      </c>
      <c r="L151" s="10">
        <v>5</v>
      </c>
      <c r="M151" s="8">
        <f t="shared" si="18"/>
        <v>1349.25</v>
      </c>
      <c r="N151" s="8">
        <f t="shared" si="19"/>
        <v>202.38749999999999</v>
      </c>
      <c r="O151" s="8">
        <f t="shared" si="20"/>
        <v>1146.8625</v>
      </c>
    </row>
    <row r="152" spans="1:15" x14ac:dyDescent="0.25">
      <c r="A152" s="4">
        <v>45615</v>
      </c>
      <c r="B152" s="4" t="s">
        <v>86</v>
      </c>
      <c r="C152" s="5" t="s">
        <v>7</v>
      </c>
      <c r="D152" s="6" t="s">
        <v>18</v>
      </c>
      <c r="E152" s="7" t="s">
        <v>19</v>
      </c>
      <c r="F152" s="5" t="s">
        <v>61</v>
      </c>
      <c r="G152" s="8">
        <v>279</v>
      </c>
      <c r="H152" s="9">
        <f t="shared" si="14"/>
        <v>13.950000000000001</v>
      </c>
      <c r="I152" s="9">
        <f t="shared" si="15"/>
        <v>34.875</v>
      </c>
      <c r="J152" s="9">
        <f t="shared" si="16"/>
        <v>30.69</v>
      </c>
      <c r="K152" s="8">
        <f t="shared" si="17"/>
        <v>358.51499999999999</v>
      </c>
      <c r="L152" s="10">
        <v>8</v>
      </c>
      <c r="M152" s="8">
        <f t="shared" si="18"/>
        <v>2868.12</v>
      </c>
      <c r="N152" s="8">
        <f t="shared" si="19"/>
        <v>430.21799999999996</v>
      </c>
      <c r="O152" s="8">
        <f t="shared" si="20"/>
        <v>2437.902</v>
      </c>
    </row>
    <row r="153" spans="1:15" x14ac:dyDescent="0.25">
      <c r="A153" s="4">
        <v>45574</v>
      </c>
      <c r="B153" s="4" t="s">
        <v>83</v>
      </c>
      <c r="C153" s="5" t="s">
        <v>22</v>
      </c>
      <c r="D153" s="6" t="s">
        <v>33</v>
      </c>
      <c r="E153" s="7" t="s">
        <v>34</v>
      </c>
      <c r="F153" s="5" t="s">
        <v>36</v>
      </c>
      <c r="G153" s="8">
        <v>499</v>
      </c>
      <c r="H153" s="9">
        <f t="shared" si="14"/>
        <v>24.950000000000003</v>
      </c>
      <c r="I153" s="9">
        <f t="shared" si="15"/>
        <v>62.375</v>
      </c>
      <c r="J153" s="9">
        <f t="shared" si="16"/>
        <v>54.89</v>
      </c>
      <c r="K153" s="8">
        <f t="shared" si="17"/>
        <v>641.21500000000003</v>
      </c>
      <c r="L153" s="10">
        <v>1</v>
      </c>
      <c r="M153" s="8">
        <f t="shared" si="18"/>
        <v>641.21500000000003</v>
      </c>
      <c r="N153" s="8">
        <f t="shared" si="19"/>
        <v>96.182249999999996</v>
      </c>
      <c r="O153" s="8">
        <f t="shared" si="20"/>
        <v>545.03275000000008</v>
      </c>
    </row>
    <row r="154" spans="1:15" x14ac:dyDescent="0.25">
      <c r="A154" s="4">
        <v>45316</v>
      </c>
      <c r="B154" s="4" t="s">
        <v>81</v>
      </c>
      <c r="C154" s="5" t="s">
        <v>7</v>
      </c>
      <c r="D154" s="6" t="s">
        <v>8</v>
      </c>
      <c r="E154" s="7" t="s">
        <v>9</v>
      </c>
      <c r="F154" s="5" t="s">
        <v>37</v>
      </c>
      <c r="G154" s="8">
        <v>299</v>
      </c>
      <c r="H154" s="9">
        <f t="shared" si="14"/>
        <v>14.950000000000001</v>
      </c>
      <c r="I154" s="9">
        <f t="shared" si="15"/>
        <v>37.375</v>
      </c>
      <c r="J154" s="9">
        <f t="shared" si="16"/>
        <v>32.89</v>
      </c>
      <c r="K154" s="8">
        <f t="shared" si="17"/>
        <v>384.21499999999997</v>
      </c>
      <c r="L154" s="10">
        <v>7</v>
      </c>
      <c r="M154" s="8">
        <f t="shared" si="18"/>
        <v>2689.5049999999997</v>
      </c>
      <c r="N154" s="8">
        <f t="shared" si="19"/>
        <v>403.42574999999994</v>
      </c>
      <c r="O154" s="8">
        <f t="shared" si="20"/>
        <v>2286.0792499999998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Romulo Sousa</dc:creator>
  <cp:lastModifiedBy>Romulo Sousa</cp:lastModifiedBy>
  <dcterms:created xsi:type="dcterms:W3CDTF">2023-04-03T03:46:40Z</dcterms:created>
  <dcterms:modified xsi:type="dcterms:W3CDTF">2026-05-25T01:14:47Z</dcterms:modified>
</cp:coreProperties>
</file>